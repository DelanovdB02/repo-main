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-space" sheetId="1" r:id="rId5"/>
    <sheet state="visible" name="P-space" sheetId="2" r:id="rId6"/>
  </sheets>
  <definedNames/>
  <calcPr/>
</workbook>
</file>

<file path=xl/sharedStrings.xml><?xml version="1.0" encoding="utf-8"?>
<sst xmlns="http://schemas.openxmlformats.org/spreadsheetml/2006/main" count="272" uniqueCount="66">
  <si>
    <t>№</t>
  </si>
  <si>
    <t>Network</t>
  </si>
  <si>
    <t>Mode</t>
  </si>
  <si>
    <t>Nodes</t>
  </si>
  <si>
    <t>Links</t>
  </si>
  <si>
    <t>Diameter [unweighted]</t>
  </si>
  <si>
    <t>Diameter [weighted]</t>
  </si>
  <si>
    <t>ASP [unweighted]</t>
  </si>
  <si>
    <t>ASP [weighted]</t>
  </si>
  <si>
    <t>Connectivity (gamma)</t>
  </si>
  <si>
    <t>Meshedness (alpha)</t>
  </si>
  <si>
    <t>Degree centrality</t>
  </si>
  <si>
    <t>Closeness [unweighted]</t>
  </si>
  <si>
    <t>Closeness [weighted]</t>
  </si>
  <si>
    <t>Betweenness [unweighted]</t>
  </si>
  <si>
    <t>Betweenness [weighted]</t>
  </si>
  <si>
    <t>Average</t>
  </si>
  <si>
    <t>St. dev</t>
  </si>
  <si>
    <t>Max</t>
  </si>
  <si>
    <t>Min</t>
  </si>
  <si>
    <t>Basel</t>
  </si>
  <si>
    <t>Tram</t>
  </si>
  <si>
    <t>Berlin (Metro)</t>
  </si>
  <si>
    <t>Subway</t>
  </si>
  <si>
    <t>Berlin (Sbahn)</t>
  </si>
  <si>
    <t>Rail</t>
  </si>
  <si>
    <t>Bern</t>
  </si>
  <si>
    <t>Bremen</t>
  </si>
  <si>
    <t>Brussels</t>
  </si>
  <si>
    <t>Chicago</t>
  </si>
  <si>
    <t>Copenhagen</t>
  </si>
  <si>
    <t>Freiburg</t>
  </si>
  <si>
    <t>Gdansk</t>
  </si>
  <si>
    <t>Hannover</t>
  </si>
  <si>
    <t>Helsinki</t>
  </si>
  <si>
    <t>Krakow</t>
  </si>
  <si>
    <t>London</t>
  </si>
  <si>
    <t>Madrid</t>
  </si>
  <si>
    <t>Mannheim</t>
  </si>
  <si>
    <t>Montpellier</t>
  </si>
  <si>
    <t>New York</t>
  </si>
  <si>
    <t>Oslo</t>
  </si>
  <si>
    <t>Paris</t>
  </si>
  <si>
    <t>Philadelphia</t>
  </si>
  <si>
    <t>Prague</t>
  </si>
  <si>
    <t>Salzburg</t>
  </si>
  <si>
    <t>Bus</t>
  </si>
  <si>
    <t>Santiago</t>
  </si>
  <si>
    <t>Strasbourg</t>
  </si>
  <si>
    <t>Sydney</t>
  </si>
  <si>
    <t>Toronto</t>
  </si>
  <si>
    <t>Valencia</t>
  </si>
  <si>
    <t>Zagreb</t>
  </si>
  <si>
    <t>Zurich</t>
  </si>
  <si>
    <t>Frankfurt</t>
  </si>
  <si>
    <t>Goteborg</t>
  </si>
  <si>
    <t>Karlsruhe</t>
  </si>
  <si>
    <t>Kassel</t>
  </si>
  <si>
    <t>Lausanne</t>
  </si>
  <si>
    <t>Leipzig</t>
  </si>
  <si>
    <t>Melbourne</t>
  </si>
  <si>
    <t>Paris (Metro)</t>
  </si>
  <si>
    <t>Vienna</t>
  </si>
  <si>
    <t>Group</t>
  </si>
  <si>
    <t>130</t>
  </si>
  <si>
    <t>5645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</si>
</sst>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0.0000"/>
    <numFmt numFmtId="165" formatCode="0.00000"/>
    <numFmt numFmtId="166" formatCode="0.000"/>
    <numFmt numFmtId="167" formatCode="dd.mm"/>
    <numFmt numFmtId="168" formatCode="#,##0.000"/>
    <numFmt numFmtId="169" formatCode="#,##0.0000"/>
  </numFmts>
  <fonts count="19">
    <font>
      <sz val="10.0"/>
      <color rgb="FF000000"/>
      <name val="Arial"/>
      <scheme val="minor"/>
    </font>
    <font>
      <b/>
      <color theme="1"/>
      <name val="Arial"/>
      <scheme val="minor"/>
    </font>
    <font>
      <sz val="11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color rgb="FF000000"/>
      <name val="Var(--jp-code-font-family)"/>
    </font>
    <font>
      <sz val="10.0"/>
      <color rgb="FF000000"/>
      <name val="Arial"/>
    </font>
    <font>
      <color rgb="FF000000"/>
      <name val="Arial"/>
    </font>
    <font>
      <sz val="11.0"/>
      <color rgb="FF000000"/>
      <name val="Consolas"/>
    </font>
    <font>
      <sz val="11.0"/>
      <color rgb="FF000000"/>
      <name val="&quot;Segoe WPC&quot;"/>
    </font>
    <font>
      <color theme="1"/>
      <name val="Arial"/>
    </font>
    <font>
      <color rgb="FF000000"/>
      <name val="Menlo"/>
    </font>
    <font>
      <color rgb="FF000000"/>
      <name val="Arial"/>
      <scheme val="minor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sz val="10.0"/>
      <color theme="1"/>
      <name val="Arial"/>
    </font>
    <font>
      <sz val="11.0"/>
      <color rgb="FF000000"/>
      <name val="Monospace"/>
    </font>
    <font>
      <sz val="11.0"/>
      <color theme="1"/>
      <name val="&quot;Segoe WPC&quot;"/>
    </font>
    <font>
      <sz val="11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top"/>
    </xf>
    <xf borderId="0" fillId="2" fontId="1" numFmtId="0" xfId="0" applyAlignment="1" applyFill="1" applyFont="1">
      <alignment horizontal="center" readingOrder="0" vertical="top"/>
    </xf>
    <xf borderId="0" fillId="3" fontId="1" numFmtId="0" xfId="0" applyAlignment="1" applyFill="1" applyFont="1">
      <alignment horizontal="center" readingOrder="0" vertical="top"/>
    </xf>
    <xf borderId="0" fillId="3" fontId="1" numFmtId="0" xfId="0" applyAlignment="1" applyFont="1">
      <alignment horizontal="center" readingOrder="0" shrinkToFit="0" vertical="top" wrapText="1"/>
    </xf>
    <xf borderId="0" fillId="4" fontId="1" numFmtId="0" xfId="0" applyAlignment="1" applyFill="1" applyFont="1">
      <alignment horizontal="center" readingOrder="0" vertical="top"/>
    </xf>
    <xf borderId="0" fillId="5" fontId="1" numFmtId="0" xfId="0" applyAlignment="1" applyFill="1" applyFont="1">
      <alignment horizontal="center" readingOrder="0" vertical="top"/>
    </xf>
    <xf borderId="0" fillId="6" fontId="1" numFmtId="0" xfId="0" applyAlignment="1" applyFill="1" applyFont="1">
      <alignment horizontal="center" readingOrder="0" vertical="top"/>
    </xf>
    <xf borderId="0" fillId="7" fontId="1" numFmtId="0" xfId="0" applyAlignment="1" applyFill="1" applyFont="1">
      <alignment horizontal="center" readingOrder="0" vertical="top"/>
    </xf>
    <xf borderId="0" fillId="8" fontId="1" numFmtId="0" xfId="0" applyAlignment="1" applyFill="1" applyFont="1">
      <alignment horizontal="center" readingOrder="0" vertical="top"/>
    </xf>
    <xf borderId="0" fillId="0" fontId="2" numFmtId="0" xfId="0" applyAlignment="1" applyFont="1">
      <alignment horizontal="left" readingOrder="0" vertical="top"/>
    </xf>
    <xf borderId="0" fillId="0" fontId="2" numFmtId="0" xfId="0" applyAlignment="1" applyFont="1">
      <alignment readingOrder="0" vertical="top"/>
    </xf>
    <xf borderId="0" fillId="0" fontId="3" numFmtId="0" xfId="0" applyAlignment="1" applyFont="1">
      <alignment horizontal="center" readingOrder="0" vertical="top"/>
    </xf>
    <xf borderId="0" fillId="0" fontId="3" numFmtId="2" xfId="0" applyAlignment="1" applyFont="1" applyNumberFormat="1">
      <alignment horizontal="center" readingOrder="0" vertical="top"/>
    </xf>
    <xf borderId="0" fillId="0" fontId="3" numFmtId="164" xfId="0" applyAlignment="1" applyFont="1" applyNumberFormat="1">
      <alignment horizontal="center" readingOrder="0" vertical="top"/>
    </xf>
    <xf borderId="0" fillId="9" fontId="4" numFmtId="164" xfId="0" applyAlignment="1" applyFill="1" applyFont="1" applyNumberFormat="1">
      <alignment horizontal="center" readingOrder="0" shrinkToFit="0" wrapText="1"/>
    </xf>
    <xf borderId="0" fillId="0" fontId="3" numFmtId="165" xfId="0" applyAlignment="1" applyFont="1" applyNumberFormat="1">
      <alignment horizontal="center" readingOrder="0" vertical="top"/>
    </xf>
    <xf borderId="0" fillId="0" fontId="3" numFmtId="1" xfId="0" applyAlignment="1" applyFont="1" applyNumberFormat="1">
      <alignment horizontal="center" readingOrder="0" vertical="top"/>
    </xf>
    <xf borderId="0" fillId="0" fontId="2" numFmtId="0" xfId="0" applyAlignment="1" applyFont="1">
      <alignment horizontal="center" readingOrder="0"/>
    </xf>
    <xf borderId="0" fillId="0" fontId="0" numFmtId="2" xfId="0" applyAlignment="1" applyFont="1" applyNumberFormat="1">
      <alignment horizontal="center" readingOrder="0" vertical="top"/>
    </xf>
    <xf borderId="0" fillId="0" fontId="5" numFmtId="164" xfId="0" applyAlignment="1" applyFont="1" applyNumberFormat="1">
      <alignment horizontal="center" readingOrder="0" shrinkToFit="0" wrapText="1"/>
    </xf>
    <xf borderId="0" fillId="0" fontId="5" numFmtId="165" xfId="0" applyAlignment="1" applyFont="1" applyNumberFormat="1">
      <alignment horizontal="center" readingOrder="0" shrinkToFit="0" wrapText="1"/>
    </xf>
    <xf borderId="0" fillId="0" fontId="5" numFmtId="1" xfId="0" applyAlignment="1" applyFont="1" applyNumberFormat="1">
      <alignment horizontal="center" readingOrder="0" shrinkToFit="0" wrapText="1"/>
    </xf>
    <xf borderId="0" fillId="0" fontId="5" numFmtId="2" xfId="0" applyAlignment="1" applyFont="1" applyNumberFormat="1">
      <alignment horizontal="center" readingOrder="0" shrinkToFit="0" wrapText="1"/>
    </xf>
    <xf borderId="0" fillId="0" fontId="0" numFmtId="2" xfId="0" applyAlignment="1" applyFont="1" applyNumberFormat="1">
      <alignment horizontal="center" readingOrder="0"/>
    </xf>
    <xf borderId="0" fillId="0" fontId="6" numFmtId="2" xfId="0" applyAlignment="1" applyFont="1" applyNumberFormat="1">
      <alignment horizontal="center" readingOrder="0"/>
    </xf>
    <xf borderId="0" fillId="0" fontId="0" numFmtId="164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 shrinkToFit="0" wrapText="1"/>
    </xf>
    <xf borderId="0" fillId="9" fontId="7" numFmtId="164" xfId="0" applyAlignment="1" applyFont="1" applyNumberFormat="1">
      <alignment horizontal="center" readingOrder="0" shrinkToFit="0" vertical="top" wrapText="1"/>
    </xf>
    <xf borderId="0" fillId="0" fontId="0" numFmtId="2" xfId="0" applyAlignment="1" applyFont="1" applyNumberFormat="1">
      <alignment horizontal="center" readingOrder="0" shrinkToFit="0" vertical="bottom" wrapText="0"/>
    </xf>
    <xf borderId="0" fillId="0" fontId="8" numFmtId="0" xfId="0" applyAlignment="1" applyFont="1">
      <alignment horizontal="center" readingOrder="0"/>
    </xf>
    <xf borderId="0" fillId="0" fontId="9" numFmtId="164" xfId="0" applyAlignment="1" applyFont="1" applyNumberFormat="1">
      <alignment horizontal="center" readingOrder="0"/>
    </xf>
    <xf borderId="0" fillId="9" fontId="9" numFmtId="164" xfId="0" applyAlignment="1" applyFont="1" applyNumberFormat="1">
      <alignment horizontal="center" readingOrder="0"/>
    </xf>
    <xf borderId="0" fillId="9" fontId="9" numFmtId="165" xfId="0" applyAlignment="1" applyFont="1" applyNumberFormat="1">
      <alignment horizontal="center" readingOrder="0"/>
    </xf>
    <xf borderId="0" fillId="9" fontId="9" numFmtId="1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/>
    </xf>
    <xf borderId="0" fillId="0" fontId="2" numFmtId="166" xfId="0" applyAlignment="1" applyFont="1" applyNumberFormat="1">
      <alignment horizontal="left" readingOrder="0" vertical="top"/>
    </xf>
    <xf borderId="0" fillId="0" fontId="2" numFmtId="166" xfId="0" applyAlignment="1" applyFont="1" applyNumberFormat="1">
      <alignment readingOrder="0" vertical="top"/>
    </xf>
    <xf borderId="0" fillId="0" fontId="10" numFmtId="1" xfId="0" applyAlignment="1" applyFont="1" applyNumberFormat="1">
      <alignment horizontal="center" vertical="top"/>
    </xf>
    <xf borderId="0" fillId="9" fontId="7" numFmtId="2" xfId="0" applyAlignment="1" applyFont="1" applyNumberFormat="1">
      <alignment horizontal="center" readingOrder="0" shrinkToFit="0" vertical="bottom" wrapText="1"/>
    </xf>
    <xf borderId="0" fillId="9" fontId="7" numFmtId="164" xfId="0" applyAlignment="1" applyFont="1" applyNumberFormat="1">
      <alignment horizontal="center" readingOrder="0" shrinkToFit="0" vertical="bottom" wrapText="1"/>
    </xf>
    <xf borderId="0" fillId="9" fontId="7" numFmtId="164" xfId="0" applyAlignment="1" applyFont="1" applyNumberFormat="1">
      <alignment horizontal="center" readingOrder="0" shrinkToFit="0" wrapText="1"/>
    </xf>
    <xf borderId="0" fillId="9" fontId="11" numFmtId="164" xfId="0" applyAlignment="1" applyFont="1" applyNumberFormat="1">
      <alignment horizontal="center" readingOrder="0" shrinkToFit="0" wrapText="1"/>
    </xf>
    <xf borderId="0" fillId="9" fontId="11" numFmtId="165" xfId="0" applyAlignment="1" applyFont="1" applyNumberFormat="1">
      <alignment horizontal="center" readingOrder="0" shrinkToFit="0" wrapText="1"/>
    </xf>
    <xf borderId="0" fillId="9" fontId="7" numFmtId="165" xfId="0" applyAlignment="1" applyFont="1" applyNumberFormat="1">
      <alignment horizontal="center" readingOrder="0" shrinkToFit="0" wrapText="1"/>
    </xf>
    <xf borderId="0" fillId="9" fontId="12" numFmtId="164" xfId="0" applyAlignment="1" applyFont="1" applyNumberFormat="1">
      <alignment horizontal="center" readingOrder="0" shrinkToFit="0" wrapText="1"/>
    </xf>
    <xf borderId="0" fillId="9" fontId="12" numFmtId="1" xfId="0" applyAlignment="1" applyFont="1" applyNumberFormat="1">
      <alignment horizontal="center" readingOrder="0" shrinkToFit="0" wrapText="1"/>
    </xf>
    <xf borderId="0" fillId="0" fontId="3" numFmtId="164" xfId="0" applyAlignment="1" applyFont="1" applyNumberFormat="1">
      <alignment horizontal="center" readingOrder="0"/>
    </xf>
    <xf borderId="0" fillId="2" fontId="3" numFmtId="2" xfId="0" applyAlignment="1" applyFont="1" applyNumberFormat="1">
      <alignment horizontal="center" readingOrder="0" vertical="top"/>
    </xf>
    <xf borderId="0" fillId="2" fontId="3" numFmtId="164" xfId="0" applyAlignment="1" applyFont="1" applyNumberFormat="1">
      <alignment horizontal="center" readingOrder="0" vertical="top"/>
    </xf>
    <xf borderId="0" fillId="9" fontId="11" numFmtId="2" xfId="0" applyAlignment="1" applyFont="1" applyNumberFormat="1">
      <alignment horizontal="center" readingOrder="0" shrinkToFit="0" wrapText="1"/>
    </xf>
    <xf borderId="0" fillId="0" fontId="10" numFmtId="2" xfId="0" applyAlignment="1" applyFont="1" applyNumberFormat="1">
      <alignment horizontal="center" readingOrder="0" vertical="top"/>
    </xf>
    <xf borderId="0" fillId="0" fontId="10" numFmtId="164" xfId="0" applyAlignment="1" applyFont="1" applyNumberFormat="1">
      <alignment horizontal="center" readingOrder="0" vertical="top"/>
    </xf>
    <xf borderId="0" fillId="0" fontId="10" numFmtId="165" xfId="0" applyAlignment="1" applyFont="1" applyNumberFormat="1">
      <alignment horizontal="center" readingOrder="0" vertical="top"/>
    </xf>
    <xf borderId="0" fillId="0" fontId="10" numFmtId="1" xfId="0" applyAlignment="1" applyFont="1" applyNumberFormat="1">
      <alignment horizontal="center" readingOrder="0" vertical="top"/>
    </xf>
    <xf borderId="0" fillId="0" fontId="12" numFmtId="0" xfId="0" applyAlignment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0" fillId="0" fontId="0" numFmtId="165" xfId="0" applyAlignment="1" applyFont="1" applyNumberFormat="1">
      <alignment horizontal="center" readingOrder="0"/>
    </xf>
    <xf borderId="0" fillId="0" fontId="6" numFmtId="2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12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12" numFmtId="165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" xfId="0" applyAlignment="1" applyFont="1" applyNumberFormat="1">
      <alignment horizontal="center" readingOrder="0"/>
    </xf>
    <xf borderId="0" fillId="0" fontId="12" numFmtId="1" xfId="0" applyAlignment="1" applyFont="1" applyNumberFormat="1">
      <alignment horizontal="center" readingOrder="0"/>
    </xf>
    <xf borderId="0" fillId="0" fontId="14" numFmtId="0" xfId="0" applyAlignment="1" applyFont="1">
      <alignment horizontal="left"/>
    </xf>
    <xf borderId="0" fillId="0" fontId="14" numFmtId="0" xfId="0" applyFont="1"/>
    <xf borderId="0" fillId="0" fontId="3" numFmtId="0" xfId="0" applyFont="1"/>
    <xf borderId="0" fillId="0" fontId="3" numFmtId="0" xfId="0" applyAlignment="1" applyFont="1">
      <alignment horizontal="center"/>
    </xf>
    <xf borderId="0" fillId="0" fontId="3" numFmtId="2" xfId="0" applyAlignment="1" applyFont="1" applyNumberForma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" xfId="0" applyAlignment="1" applyFont="1" applyNumberFormat="1">
      <alignment horizontal="center"/>
    </xf>
    <xf borderId="0" fillId="9" fontId="7" numFmtId="2" xfId="0" applyAlignment="1" applyFont="1" applyNumberFormat="1">
      <alignment horizontal="center" readingOrder="0" shrinkToFit="0" vertical="top" wrapText="1"/>
    </xf>
    <xf borderId="0" fillId="9" fontId="7" numFmtId="0" xfId="0" applyAlignment="1" applyFont="1">
      <alignment horizontal="center" readingOrder="0" shrinkToFit="0" vertical="top" wrapText="1"/>
    </xf>
    <xf borderId="0" fillId="0" fontId="12" numFmtId="2" xfId="0" applyAlignment="1" applyFont="1" applyNumberFormat="1">
      <alignment horizontal="center" readingOrder="0" shrinkToFit="0" wrapText="0"/>
    </xf>
    <xf borderId="0" fillId="0" fontId="12" numFmtId="164" xfId="0" applyAlignment="1" applyFont="1" applyNumberFormat="1">
      <alignment horizontal="center" readingOrder="0" shrinkToFit="0" wrapText="0"/>
    </xf>
    <xf borderId="0" fillId="0" fontId="12" numFmtId="165" xfId="0" applyAlignment="1" applyFont="1" applyNumberFormat="1">
      <alignment horizontal="center" readingOrder="0" shrinkToFit="0" wrapText="0"/>
    </xf>
    <xf borderId="0" fillId="0" fontId="13" numFmtId="0" xfId="0" applyAlignment="1" applyFont="1">
      <alignment horizontal="center" readingOrder="0" vertical="top"/>
    </xf>
    <xf borderId="0" fillId="0" fontId="13" numFmtId="2" xfId="0" applyAlignment="1" applyFont="1" applyNumberFormat="1">
      <alignment horizontal="center" readingOrder="0" vertical="top"/>
    </xf>
    <xf borderId="0" fillId="9" fontId="0" numFmtId="2" xfId="0" applyAlignment="1" applyFont="1" applyNumberFormat="1">
      <alignment horizontal="center" readingOrder="0" vertical="top"/>
    </xf>
    <xf borderId="0" fillId="0" fontId="13" numFmtId="164" xfId="0" applyAlignment="1" applyFont="1" applyNumberFormat="1">
      <alignment horizontal="center" readingOrder="0" vertical="top"/>
    </xf>
    <xf borderId="0" fillId="0" fontId="0" numFmtId="164" xfId="0" applyAlignment="1" applyFont="1" applyNumberFormat="1">
      <alignment horizontal="center" readingOrder="0" vertical="top"/>
    </xf>
    <xf borderId="0" fillId="9" fontId="0" numFmtId="164" xfId="0" applyAlignment="1" applyFont="1" applyNumberFormat="1">
      <alignment horizontal="center" readingOrder="0" vertical="top"/>
    </xf>
    <xf borderId="0" fillId="0" fontId="13" numFmtId="165" xfId="0" applyAlignment="1" applyFont="1" applyNumberFormat="1">
      <alignment horizontal="center" readingOrder="0" vertical="top"/>
    </xf>
    <xf borderId="0" fillId="0" fontId="3" numFmtId="165" xfId="0" applyAlignment="1" applyFont="1" applyNumberFormat="1">
      <alignment horizontal="center" vertical="top"/>
    </xf>
    <xf borderId="0" fillId="0" fontId="3" numFmtId="0" xfId="0" applyAlignment="1" applyFont="1">
      <alignment horizontal="center" readingOrder="0"/>
    </xf>
    <xf borderId="0" fillId="0" fontId="3" numFmtId="2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" xfId="0" applyAlignment="1" applyFont="1" applyNumberFormat="1">
      <alignment horizontal="center" readingOrder="0"/>
    </xf>
    <xf borderId="0" fillId="9" fontId="0" numFmtId="2" xfId="0" applyAlignment="1" applyFont="1" applyNumberForma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bottom" wrapText="0"/>
    </xf>
    <xf borderId="0" fillId="0" fontId="7" numFmtId="2" xfId="0" applyAlignment="1" applyFont="1" applyNumberFormat="1">
      <alignment horizontal="center" readingOrder="0" shrinkToFit="0" vertical="bottom" wrapText="0"/>
    </xf>
    <xf borderId="0" fillId="0" fontId="7" numFmtId="164" xfId="0" applyAlignment="1" applyFont="1" applyNumberFormat="1">
      <alignment horizontal="center" readingOrder="0" shrinkToFit="0" vertical="bottom" wrapText="0"/>
    </xf>
    <xf borderId="0" fillId="0" fontId="7" numFmtId="165" xfId="0" applyAlignment="1" applyFont="1" applyNumberFormat="1">
      <alignment horizontal="center" readingOrder="0" shrinkToFit="0" vertical="bottom" wrapText="0"/>
    </xf>
    <xf borderId="0" fillId="0" fontId="7" numFmtId="1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vertical="top"/>
    </xf>
    <xf borderId="0" fillId="0" fontId="15" numFmtId="0" xfId="0" applyAlignment="1" applyFont="1">
      <alignment horizontal="center" readingOrder="0"/>
    </xf>
    <xf borderId="0" fillId="0" fontId="15" numFmtId="2" xfId="0" applyAlignment="1" applyFont="1" applyNumberFormat="1">
      <alignment horizontal="center" readingOrder="0"/>
    </xf>
    <xf borderId="0" fillId="0" fontId="15" numFmtId="164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15" numFmtId="165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5" numFmtId="1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3" numFmtId="4" xfId="0" applyAlignment="1" applyFont="1" applyNumberFormat="1">
      <alignment horizontal="center" readingOrder="0" vertical="top"/>
    </xf>
    <xf borderId="0" fillId="0" fontId="5" numFmtId="164" xfId="0" applyAlignment="1" applyFont="1" applyNumberFormat="1">
      <alignment horizontal="left" readingOrder="0" shrinkToFit="0" wrapText="1"/>
    </xf>
    <xf borderId="0" fillId="0" fontId="5" numFmtId="0" xfId="0" applyAlignment="1" applyFont="1">
      <alignment horizontal="left"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9" fontId="16" numFmtId="0" xfId="0" applyAlignment="1" applyFont="1">
      <alignment horizontal="left" readingOrder="0" shrinkToFit="0" wrapText="1"/>
    </xf>
    <xf borderId="0" fillId="0" fontId="0" numFmtId="16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67" xfId="0" applyAlignment="1" applyFont="1" applyNumberFormat="1">
      <alignment horizontal="center" readingOrder="0" vertical="top"/>
    </xf>
    <xf borderId="0" fillId="0" fontId="3" numFmtId="166" xfId="0" applyAlignment="1" applyFont="1" applyNumberFormat="1">
      <alignment horizontal="center" readingOrder="0" vertical="top"/>
    </xf>
    <xf borderId="0" fillId="9" fontId="7" numFmtId="166" xfId="0" applyAlignment="1" applyFont="1" applyNumberFormat="1">
      <alignment horizontal="center" readingOrder="0" shrinkToFit="0" vertical="top" wrapText="1"/>
    </xf>
    <xf borderId="0" fillId="0" fontId="3" numFmtId="166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9" fontId="9" numFmtId="0" xfId="0" applyAlignment="1" applyFont="1">
      <alignment horizontal="right" readingOrder="0"/>
    </xf>
    <xf borderId="0" fillId="9" fontId="17" numFmtId="0" xfId="0" applyAlignment="1" applyFont="1">
      <alignment horizontal="right" readingOrder="0"/>
    </xf>
    <xf borderId="0" fillId="0" fontId="3" numFmtId="49" xfId="0" applyAlignment="1" applyFont="1" applyNumberFormat="1">
      <alignment horizontal="center" readingOrder="0" vertical="top"/>
    </xf>
    <xf borderId="0" fillId="0" fontId="18" numFmtId="166" xfId="0" applyAlignment="1" applyFont="1" applyNumberFormat="1">
      <alignment horizontal="right" readingOrder="0"/>
    </xf>
    <xf borderId="0" fillId="9" fontId="12" numFmtId="0" xfId="0" applyAlignment="1" applyFont="1">
      <alignment horizontal="left" readingOrder="0" shrinkToFit="0" wrapText="1"/>
    </xf>
    <xf borderId="0" fillId="0" fontId="3" numFmtId="168" xfId="0" applyAlignment="1" applyFont="1" applyNumberFormat="1">
      <alignment horizontal="center" readingOrder="0" vertical="top"/>
    </xf>
    <xf borderId="0" fillId="0" fontId="3" numFmtId="169" xfId="0" applyAlignment="1" applyFont="1" applyNumberForma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0" fillId="0" fontId="10" numFmtId="168" xfId="0" applyAlignment="1" applyFont="1" applyNumberFormat="1">
      <alignment horizontal="center" readingOrder="0" vertical="top"/>
    </xf>
    <xf borderId="0" fillId="0" fontId="10" numFmtId="166" xfId="0" applyAlignment="1" applyFont="1" applyNumberFormat="1">
      <alignment horizontal="center" readingOrder="0" vertical="top"/>
    </xf>
    <xf borderId="0" fillId="0" fontId="3" numFmtId="3" xfId="0" applyAlignment="1" applyFont="1" applyNumberFormat="1">
      <alignment horizontal="center" readingOrder="0" vertical="top"/>
    </xf>
    <xf borderId="0" fillId="0" fontId="0" numFmtId="0" xfId="0" applyAlignment="1" applyFont="1">
      <alignment horizontal="center" readingOrder="0"/>
    </xf>
    <xf borderId="0" fillId="0" fontId="6" numFmtId="0" xfId="0" applyAlignment="1" applyFont="1">
      <alignment readingOrder="0"/>
    </xf>
    <xf borderId="0" fillId="0" fontId="12" numFmtId="164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12" numFmtId="169" xfId="0" applyAlignment="1" applyFont="1" applyNumberFormat="1">
      <alignment readingOrder="0"/>
    </xf>
    <xf borderId="0" fillId="9" fontId="7" numFmtId="169" xfId="0" applyAlignment="1" applyFont="1" applyNumberFormat="1">
      <alignment horizontal="center" readingOrder="0" shrinkToFit="0" vertical="top" wrapText="1"/>
    </xf>
    <xf borderId="0" fillId="9" fontId="7" numFmtId="3" xfId="0" applyAlignment="1" applyFont="1" applyNumberFormat="1">
      <alignment horizontal="center" readingOrder="0" shrinkToFit="0" vertical="top" wrapText="1"/>
    </xf>
    <xf borderId="0" fillId="0" fontId="12" numFmtId="0" xfId="0" applyAlignment="1" applyFont="1">
      <alignment readingOrder="0" shrinkToFit="0" wrapText="0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center" vertical="top"/>
    </xf>
    <xf borderId="0" fillId="0" fontId="6" numFmtId="0" xfId="0" applyAlignment="1" applyFont="1">
      <alignment horizontal="left" readingOrder="0" vertical="top"/>
    </xf>
    <xf borderId="0" fillId="0" fontId="15" numFmtId="0" xfId="0" applyAlignment="1" applyFont="1">
      <alignment horizontal="center"/>
    </xf>
    <xf borderId="0" fillId="0" fontId="6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3.0"/>
    <col customWidth="1" min="2" max="2" width="12.75"/>
    <col customWidth="1" min="3" max="3" width="7.5"/>
    <col customWidth="1" min="4" max="4" width="6.13"/>
    <col customWidth="1" min="5" max="5" width="5.38"/>
    <col customWidth="1" min="6" max="6" width="11.38"/>
    <col customWidth="1" min="7" max="7" width="9.38"/>
    <col customWidth="1" min="8" max="8" width="11.38"/>
    <col customWidth="1" min="9" max="9" width="9.38"/>
    <col customWidth="1" min="10" max="11" width="11.0"/>
    <col customWidth="1" min="12" max="12" width="8.75"/>
    <col customWidth="1" min="13" max="15" width="6.63"/>
    <col customWidth="1" min="16" max="16" width="10.75"/>
    <col customWidth="1" min="17" max="19" width="6.63"/>
    <col customWidth="1" min="20" max="20" width="8.38"/>
    <col customWidth="1" min="21" max="23" width="7.63"/>
    <col customWidth="1" min="24" max="24" width="9.88"/>
    <col customWidth="1" min="25" max="26" width="7.63"/>
    <col customWidth="1" min="27" max="27" width="3.88"/>
    <col customWidth="1" min="28" max="28" width="9.75"/>
    <col customWidth="1" min="29" max="30" width="6.63"/>
    <col customWidth="1" min="31" max="31" width="3.8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P1" s="6" t="s">
        <v>12</v>
      </c>
      <c r="T1" s="7" t="s">
        <v>13</v>
      </c>
      <c r="X1" s="8" t="s">
        <v>14</v>
      </c>
      <c r="AB1" s="9" t="s">
        <v>15</v>
      </c>
    </row>
    <row r="2">
      <c r="L2" s="5" t="s">
        <v>16</v>
      </c>
      <c r="M2" s="5" t="s">
        <v>17</v>
      </c>
      <c r="N2" s="5" t="s">
        <v>18</v>
      </c>
      <c r="O2" s="5" t="s">
        <v>19</v>
      </c>
      <c r="P2" s="6" t="s">
        <v>16</v>
      </c>
      <c r="Q2" s="6" t="s">
        <v>17</v>
      </c>
      <c r="R2" s="6" t="s">
        <v>18</v>
      </c>
      <c r="S2" s="6" t="s">
        <v>19</v>
      </c>
      <c r="T2" s="7" t="s">
        <v>16</v>
      </c>
      <c r="U2" s="7" t="s">
        <v>17</v>
      </c>
      <c r="V2" s="7" t="s">
        <v>18</v>
      </c>
      <c r="W2" s="7" t="s">
        <v>19</v>
      </c>
      <c r="X2" s="8" t="s">
        <v>16</v>
      </c>
      <c r="Y2" s="8" t="s">
        <v>17</v>
      </c>
      <c r="Z2" s="8" t="s">
        <v>18</v>
      </c>
      <c r="AA2" s="8" t="s">
        <v>19</v>
      </c>
      <c r="AB2" s="9" t="s">
        <v>16</v>
      </c>
      <c r="AC2" s="9" t="s">
        <v>17</v>
      </c>
      <c r="AD2" s="9" t="s">
        <v>18</v>
      </c>
      <c r="AE2" s="9" t="s">
        <v>19</v>
      </c>
    </row>
    <row r="3">
      <c r="A3" s="10">
        <v>1.0</v>
      </c>
      <c r="B3" s="10" t="s">
        <v>20</v>
      </c>
      <c r="C3" s="11" t="s">
        <v>21</v>
      </c>
      <c r="D3" s="12">
        <v>183.0</v>
      </c>
      <c r="E3" s="12">
        <v>389.0</v>
      </c>
      <c r="F3" s="12">
        <v>40.0</v>
      </c>
      <c r="G3" s="13">
        <v>3857.42</v>
      </c>
      <c r="H3" s="13">
        <v>14.33</v>
      </c>
      <c r="I3" s="13">
        <v>1236.38</v>
      </c>
      <c r="J3" s="14">
        <v>0.0117</v>
      </c>
      <c r="K3" s="14">
        <v>0.5734</v>
      </c>
      <c r="L3" s="15">
        <v>0.0234</v>
      </c>
      <c r="M3" s="14">
        <v>0.0071</v>
      </c>
      <c r="N3" s="14">
        <v>0.0549</v>
      </c>
      <c r="O3" s="14">
        <v>0.011</v>
      </c>
      <c r="P3" s="14">
        <v>0.0751</v>
      </c>
      <c r="Q3" s="14">
        <v>0.0198</v>
      </c>
      <c r="R3" s="14">
        <v>0.1164</v>
      </c>
      <c r="S3" s="14">
        <v>0.0391</v>
      </c>
      <c r="T3" s="16">
        <v>9.0E-4</v>
      </c>
      <c r="U3" s="16">
        <v>2.0E-4</v>
      </c>
      <c r="V3" s="16">
        <v>0.0013</v>
      </c>
      <c r="W3" s="16">
        <v>4.0E-4</v>
      </c>
      <c r="X3" s="16">
        <v>0.0736</v>
      </c>
      <c r="Y3" s="16">
        <v>0.0718</v>
      </c>
      <c r="Z3" s="16">
        <v>0.3747</v>
      </c>
      <c r="AA3" s="17">
        <v>0.0</v>
      </c>
      <c r="AB3" s="14">
        <v>0.0747</v>
      </c>
      <c r="AC3" s="14">
        <v>0.069</v>
      </c>
      <c r="AD3" s="14">
        <v>0.3479</v>
      </c>
      <c r="AE3" s="17">
        <v>0.0</v>
      </c>
    </row>
    <row r="4">
      <c r="A4" s="10">
        <v>2.0</v>
      </c>
      <c r="B4" s="10" t="s">
        <v>22</v>
      </c>
      <c r="C4" s="11" t="s">
        <v>23</v>
      </c>
      <c r="D4" s="18">
        <v>174.0</v>
      </c>
      <c r="E4" s="18">
        <v>374.0</v>
      </c>
      <c r="F4" s="12">
        <v>46.0</v>
      </c>
      <c r="G4" s="13">
        <v>4398.75</v>
      </c>
      <c r="H4" s="13">
        <v>14.2878214072154</v>
      </c>
      <c r="I4" s="13">
        <v>1315.95519174202</v>
      </c>
      <c r="J4" s="14">
        <v>0.718992248062015</v>
      </c>
      <c r="K4" s="14">
        <v>0.577259475218659</v>
      </c>
      <c r="L4" s="14">
        <v>0.0248</v>
      </c>
      <c r="M4" s="14">
        <v>0.0088</v>
      </c>
      <c r="N4" s="14">
        <v>0.0694</v>
      </c>
      <c r="O4" s="14">
        <v>0.0116</v>
      </c>
      <c r="P4" s="14">
        <v>0.0745</v>
      </c>
      <c r="Q4" s="14">
        <v>0.0172</v>
      </c>
      <c r="R4" s="14">
        <v>0.1042</v>
      </c>
      <c r="S4" s="14">
        <v>0.0358</v>
      </c>
      <c r="T4" s="16">
        <v>8.0E-4</v>
      </c>
      <c r="U4" s="16">
        <v>2.0E-4</v>
      </c>
      <c r="V4" s="16">
        <v>0.0012</v>
      </c>
      <c r="W4" s="16">
        <v>4.0E-4</v>
      </c>
      <c r="X4" s="16">
        <v>0.0773</v>
      </c>
      <c r="Y4" s="16">
        <v>0.0659</v>
      </c>
      <c r="Z4" s="16">
        <v>0.3187</v>
      </c>
      <c r="AA4" s="17">
        <v>0.0</v>
      </c>
      <c r="AB4" s="14">
        <v>0.0776</v>
      </c>
      <c r="AC4" s="14">
        <v>0.067</v>
      </c>
      <c r="AD4" s="14">
        <v>0.3125</v>
      </c>
      <c r="AE4" s="17">
        <v>0.0</v>
      </c>
    </row>
    <row r="5">
      <c r="A5" s="10">
        <v>3.0</v>
      </c>
      <c r="B5" s="10" t="s">
        <v>24</v>
      </c>
      <c r="C5" s="11" t="s">
        <v>25</v>
      </c>
      <c r="D5" s="12">
        <v>167.0</v>
      </c>
      <c r="E5" s="12">
        <v>358.0</v>
      </c>
      <c r="F5" s="12">
        <v>35.0</v>
      </c>
      <c r="G5" s="13">
        <v>4774.4151</v>
      </c>
      <c r="H5" s="19">
        <v>13.2633</v>
      </c>
      <c r="I5" s="13">
        <v>1596.86</v>
      </c>
      <c r="J5" s="14">
        <v>0.3616</v>
      </c>
      <c r="K5" s="14">
        <v>0.0395</v>
      </c>
      <c r="L5" s="20">
        <v>0.012914</v>
      </c>
      <c r="M5" s="20">
        <v>0.004235</v>
      </c>
      <c r="N5" s="20">
        <v>0.036145</v>
      </c>
      <c r="O5" s="20">
        <v>0.006024</v>
      </c>
      <c r="P5" s="20">
        <v>0.078791</v>
      </c>
      <c r="Q5" s="20">
        <v>0.015973</v>
      </c>
      <c r="R5" s="20">
        <v>0.109571</v>
      </c>
      <c r="S5" s="20">
        <v>0.042994</v>
      </c>
      <c r="T5" s="21">
        <v>6.69E-4</v>
      </c>
      <c r="U5" s="21">
        <v>1.61E-4</v>
      </c>
      <c r="V5" s="21">
        <v>9.43E-4</v>
      </c>
      <c r="W5" s="21">
        <v>3.18E-4</v>
      </c>
      <c r="X5" s="21">
        <v>0.074323</v>
      </c>
      <c r="Y5" s="21">
        <v>0.072994</v>
      </c>
      <c r="Z5" s="21">
        <v>0.439168</v>
      </c>
      <c r="AA5" s="22">
        <v>0.0</v>
      </c>
      <c r="AB5" s="20">
        <v>0.075328</v>
      </c>
      <c r="AC5" s="20">
        <v>0.071238</v>
      </c>
      <c r="AD5" s="20">
        <v>0.43797</v>
      </c>
      <c r="AE5" s="17">
        <v>0.0</v>
      </c>
    </row>
    <row r="6">
      <c r="A6" s="10">
        <v>4.0</v>
      </c>
      <c r="B6" s="10" t="s">
        <v>26</v>
      </c>
      <c r="C6" s="11" t="s">
        <v>25</v>
      </c>
      <c r="D6" s="12">
        <v>132.0</v>
      </c>
      <c r="E6" s="12">
        <v>304.0</v>
      </c>
      <c r="F6" s="12">
        <v>24.0</v>
      </c>
      <c r="G6" s="23">
        <v>5835.3050595238</v>
      </c>
      <c r="H6" s="23">
        <v>9.568</v>
      </c>
      <c r="I6" s="13">
        <v>2157.28</v>
      </c>
      <c r="J6" s="14">
        <f>E6/(3*D6-6)</f>
        <v>0.7794871795</v>
      </c>
      <c r="K6" s="14">
        <f>(E6-D6+1)/(2*D6-5)</f>
        <v>0.667953668</v>
      </c>
      <c r="L6" s="20">
        <v>0.0352</v>
      </c>
      <c r="M6" s="20">
        <v>0.0137</v>
      </c>
      <c r="N6" s="20">
        <v>0.122137404580152</v>
      </c>
      <c r="O6" s="20">
        <v>0.015267175572519</v>
      </c>
      <c r="P6" s="20">
        <v>0.1119</v>
      </c>
      <c r="Q6" s="20">
        <v>0.0294</v>
      </c>
      <c r="R6" s="20">
        <v>0.183988764044943</v>
      </c>
      <c r="S6" s="20">
        <v>0.063468992248062</v>
      </c>
      <c r="T6" s="16">
        <v>4.9E-4</v>
      </c>
      <c r="U6" s="16">
        <v>1.2E-4</v>
      </c>
      <c r="V6" s="16">
        <v>2.7E-4</v>
      </c>
      <c r="W6" s="16">
        <v>7.7E-4</v>
      </c>
      <c r="X6" s="21">
        <v>0.0659</v>
      </c>
      <c r="Y6" s="21">
        <v>0.0882</v>
      </c>
      <c r="Z6" s="21">
        <v>0.691684608860181</v>
      </c>
      <c r="AA6" s="22">
        <v>0.0</v>
      </c>
      <c r="AB6" s="14">
        <v>0.07115</v>
      </c>
      <c r="AC6" s="14">
        <v>0.08562</v>
      </c>
      <c r="AD6" s="14">
        <v>0.57962</v>
      </c>
      <c r="AE6" s="17">
        <v>0.0</v>
      </c>
    </row>
    <row r="7">
      <c r="A7" s="10">
        <v>5.0</v>
      </c>
      <c r="B7" s="10" t="s">
        <v>27</v>
      </c>
      <c r="C7" s="11" t="s">
        <v>21</v>
      </c>
      <c r="D7" s="12">
        <v>166.0</v>
      </c>
      <c r="E7" s="12">
        <v>357.0</v>
      </c>
      <c r="F7" s="12">
        <v>48.0</v>
      </c>
      <c r="G7" s="24">
        <v>3686.59940129453</v>
      </c>
      <c r="H7" s="24">
        <v>17.174297188755</v>
      </c>
      <c r="I7" s="25">
        <v>1411.38590436771</v>
      </c>
      <c r="J7" s="14">
        <v>0.725609756097561</v>
      </c>
      <c r="K7" s="26">
        <v>0.587155963302752</v>
      </c>
      <c r="L7" s="14">
        <v>0.0260679079956188</v>
      </c>
      <c r="M7" s="14">
        <v>0.00762763920099341</v>
      </c>
      <c r="N7" s="27">
        <v>0.0727272727272727</v>
      </c>
      <c r="O7" s="14">
        <v>0.0121212121212121</v>
      </c>
      <c r="P7" s="14">
        <v>0.0635629266668772</v>
      </c>
      <c r="Q7" s="14">
        <v>0.0177925654070441</v>
      </c>
      <c r="R7" s="14">
        <v>0.0983899821109123</v>
      </c>
      <c r="S7" s="14">
        <v>0.0295222758990874</v>
      </c>
      <c r="T7" s="16">
        <v>7.6385299245613E-4</v>
      </c>
      <c r="U7" s="16">
        <v>2.00495125592617E-4</v>
      </c>
      <c r="V7" s="16">
        <v>0.00116829584543463</v>
      </c>
      <c r="W7" s="16">
        <v>3.79785380806038E-4</v>
      </c>
      <c r="X7" s="16">
        <v>0.0986237633460671</v>
      </c>
      <c r="Y7" s="16">
        <v>0.0956222713908581</v>
      </c>
      <c r="Z7" s="16">
        <v>0.458758314855875</v>
      </c>
      <c r="AA7" s="17">
        <v>0.0</v>
      </c>
      <c r="AB7" s="14">
        <v>0.0994273101274276</v>
      </c>
      <c r="AC7" s="14">
        <v>0.0934737650242847</v>
      </c>
      <c r="AD7" s="14">
        <v>0.457575757575757</v>
      </c>
      <c r="AE7" s="17">
        <v>0.0</v>
      </c>
    </row>
    <row r="8">
      <c r="A8" s="10">
        <v>6.0</v>
      </c>
      <c r="B8" s="10" t="s">
        <v>28</v>
      </c>
      <c r="C8" s="11" t="s">
        <v>25</v>
      </c>
      <c r="D8" s="12">
        <v>128.0</v>
      </c>
      <c r="E8" s="12">
        <v>138.0</v>
      </c>
      <c r="F8" s="12">
        <v>32.0</v>
      </c>
      <c r="G8" s="13">
        <v>6526.0</v>
      </c>
      <c r="H8" s="13">
        <v>12.8625</v>
      </c>
      <c r="I8" s="13">
        <v>2469.0</v>
      </c>
      <c r="J8" s="14">
        <v>0.3651</v>
      </c>
      <c r="K8" s="14">
        <v>0.0438</v>
      </c>
      <c r="L8" s="14">
        <v>0.034</v>
      </c>
      <c r="M8" s="14">
        <v>0.01</v>
      </c>
      <c r="N8" s="14">
        <v>0.079</v>
      </c>
      <c r="O8" s="14">
        <v>0.016</v>
      </c>
      <c r="P8" s="14">
        <v>0.082</v>
      </c>
      <c r="Q8" s="14">
        <v>0.018</v>
      </c>
      <c r="R8" s="14">
        <v>0.119</v>
      </c>
      <c r="S8" s="14">
        <v>0.052</v>
      </c>
      <c r="T8" s="16">
        <v>4.28E-4</v>
      </c>
      <c r="U8" s="16">
        <v>9.9E-5</v>
      </c>
      <c r="V8" s="16">
        <v>6.24E-4</v>
      </c>
      <c r="W8" s="16">
        <v>2.33E-4</v>
      </c>
      <c r="X8" s="16">
        <v>0.094</v>
      </c>
      <c r="Y8" s="16">
        <v>0.077</v>
      </c>
      <c r="Z8" s="16">
        <v>0.352</v>
      </c>
      <c r="AA8" s="17">
        <v>0.0</v>
      </c>
      <c r="AB8" s="14">
        <v>0.095</v>
      </c>
      <c r="AC8" s="14">
        <v>0.076</v>
      </c>
      <c r="AD8" s="14">
        <v>0.338</v>
      </c>
      <c r="AE8" s="17">
        <v>0.0</v>
      </c>
    </row>
    <row r="9">
      <c r="A9" s="10">
        <v>7.0</v>
      </c>
      <c r="B9" s="10" t="s">
        <v>29</v>
      </c>
      <c r="C9" s="11" t="s">
        <v>23</v>
      </c>
      <c r="D9" s="12">
        <v>142.0</v>
      </c>
      <c r="E9" s="12">
        <v>293.0</v>
      </c>
      <c r="F9" s="12">
        <v>39.0</v>
      </c>
      <c r="G9" s="13">
        <v>5017.965381</v>
      </c>
      <c r="H9" s="13">
        <v>15.562281</v>
      </c>
      <c r="I9" s="13">
        <v>1971.447152</v>
      </c>
      <c r="J9" s="28">
        <v>0.697619</v>
      </c>
      <c r="K9" s="14">
        <v>0.544803</v>
      </c>
      <c r="L9" s="14">
        <v>0.029268</v>
      </c>
      <c r="M9" s="14">
        <v>0.008536</v>
      </c>
      <c r="N9" s="14">
        <v>0.078014</v>
      </c>
      <c r="O9" s="14">
        <v>0.014184</v>
      </c>
      <c r="P9" s="14">
        <v>0.068285</v>
      </c>
      <c r="Q9" s="14">
        <v>0.017017</v>
      </c>
      <c r="R9" s="14">
        <v>0.108295</v>
      </c>
      <c r="S9" s="14">
        <v>0.038504</v>
      </c>
      <c r="T9" s="16">
        <v>4.91E-4</v>
      </c>
      <c r="U9" s="16">
        <v>1.22E-4</v>
      </c>
      <c r="V9" s="16">
        <v>7.68E-4</v>
      </c>
      <c r="W9" s="16">
        <v>2.94E-4</v>
      </c>
      <c r="X9" s="16">
        <v>0.104142</v>
      </c>
      <c r="Y9" s="16">
        <v>0.1128</v>
      </c>
      <c r="Z9" s="16">
        <v>0.640502</v>
      </c>
      <c r="AA9" s="17">
        <v>0.0</v>
      </c>
      <c r="AB9" s="14">
        <v>0.106222</v>
      </c>
      <c r="AC9" s="14">
        <v>0.112947</v>
      </c>
      <c r="AD9" s="14">
        <v>0.64311</v>
      </c>
      <c r="AE9" s="17">
        <v>0.0</v>
      </c>
    </row>
    <row r="10">
      <c r="A10" s="10">
        <v>8.0</v>
      </c>
      <c r="B10" s="10" t="s">
        <v>30</v>
      </c>
      <c r="C10" s="11" t="s">
        <v>25</v>
      </c>
      <c r="D10" s="12">
        <v>87.0</v>
      </c>
      <c r="E10" s="12">
        <v>179.0</v>
      </c>
      <c r="F10" s="12">
        <v>35.0</v>
      </c>
      <c r="G10" s="29">
        <v>4906.802813</v>
      </c>
      <c r="H10" s="13">
        <v>13.30419674</v>
      </c>
      <c r="I10" s="13">
        <v>1594.851822</v>
      </c>
      <c r="J10" s="14">
        <v>0.701960784</v>
      </c>
      <c r="K10" s="14">
        <v>0.550295858</v>
      </c>
      <c r="L10" s="14">
        <v>0.047848169</v>
      </c>
      <c r="M10" s="14">
        <v>0.012886</v>
      </c>
      <c r="N10" s="14">
        <v>0.093023256</v>
      </c>
      <c r="O10" s="14">
        <v>0.023255814</v>
      </c>
      <c r="P10" s="14">
        <v>0.08057131</v>
      </c>
      <c r="Q10" s="14">
        <v>0.02025</v>
      </c>
      <c r="R10" s="14">
        <v>0.116059379</v>
      </c>
      <c r="S10" s="14">
        <v>0.045647558</v>
      </c>
      <c r="T10" s="16">
        <v>6.86193E-4</v>
      </c>
      <c r="U10" s="16">
        <v>1.91718E-4</v>
      </c>
      <c r="V10" s="16">
        <v>0.00101774</v>
      </c>
      <c r="W10" s="16">
        <v>3.36934E-4</v>
      </c>
      <c r="X10" s="16">
        <v>0.144755256</v>
      </c>
      <c r="Y10" s="16">
        <v>0.098971853</v>
      </c>
      <c r="Z10" s="16">
        <v>0.472594619</v>
      </c>
      <c r="AA10" s="17">
        <v>0.0</v>
      </c>
      <c r="AB10" s="14">
        <v>0.145958929</v>
      </c>
      <c r="AC10" s="14">
        <v>0.124816</v>
      </c>
      <c r="AD10" s="14">
        <v>0.583926129</v>
      </c>
      <c r="AE10" s="17">
        <v>0.0</v>
      </c>
    </row>
    <row r="11">
      <c r="A11" s="10">
        <v>9.0</v>
      </c>
      <c r="B11" s="10" t="s">
        <v>31</v>
      </c>
      <c r="C11" s="11" t="s">
        <v>21</v>
      </c>
      <c r="D11" s="30">
        <v>167.0</v>
      </c>
      <c r="E11" s="12">
        <v>195.0</v>
      </c>
      <c r="F11" s="30">
        <v>22.0</v>
      </c>
      <c r="G11" s="13">
        <v>1920.0</v>
      </c>
      <c r="H11" s="13">
        <v>9.71935646778731</v>
      </c>
      <c r="I11" s="13">
        <v>912.043977573558</v>
      </c>
      <c r="J11" s="14">
        <v>0.39</v>
      </c>
      <c r="K11" s="14">
        <v>0.088</v>
      </c>
      <c r="L11" s="31">
        <v>0.014068</v>
      </c>
      <c r="M11" s="31">
        <v>0.005132</v>
      </c>
      <c r="N11" s="31">
        <v>0.036145</v>
      </c>
      <c r="O11" s="31">
        <v>0.006024</v>
      </c>
      <c r="P11" s="32">
        <v>0.107406</v>
      </c>
      <c r="Q11" s="32">
        <v>0.02195</v>
      </c>
      <c r="R11" s="32">
        <v>0.159462</v>
      </c>
      <c r="S11" s="32">
        <v>0.064717</v>
      </c>
      <c r="T11" s="33">
        <v>0.001138</v>
      </c>
      <c r="U11" s="33">
        <v>2.2E-4</v>
      </c>
      <c r="V11" s="33">
        <v>0.001669</v>
      </c>
      <c r="W11" s="33">
        <v>7.76E-4</v>
      </c>
      <c r="X11" s="33">
        <v>0.052845</v>
      </c>
      <c r="Y11" s="33">
        <v>0.047017</v>
      </c>
      <c r="Z11" s="33">
        <v>0.26146</v>
      </c>
      <c r="AA11" s="34">
        <v>0.0</v>
      </c>
      <c r="AB11" s="35"/>
      <c r="AC11" s="32">
        <v>0.04716</v>
      </c>
      <c r="AD11" s="32">
        <v>0.306894</v>
      </c>
      <c r="AE11" s="34">
        <v>0.0</v>
      </c>
    </row>
    <row r="12">
      <c r="A12" s="10">
        <v>10.0</v>
      </c>
      <c r="B12" s="36" t="s">
        <v>32</v>
      </c>
      <c r="C12" s="37" t="s">
        <v>21</v>
      </c>
      <c r="D12" s="12">
        <v>130.0</v>
      </c>
      <c r="E12" s="12">
        <v>263.0</v>
      </c>
      <c r="F12" s="12">
        <v>41.0</v>
      </c>
      <c r="G12" s="13">
        <v>4198.75</v>
      </c>
      <c r="H12" s="13">
        <v>16.14</v>
      </c>
      <c r="I12" s="13">
        <v>1588.5</v>
      </c>
      <c r="J12" s="14">
        <v>0.7898</v>
      </c>
      <c r="K12" s="14">
        <v>0.6833</v>
      </c>
      <c r="L12" s="14">
        <v>0.0314</v>
      </c>
      <c r="M12" s="14">
        <v>0.0094</v>
      </c>
      <c r="N12" s="14">
        <v>0.062</v>
      </c>
      <c r="O12" s="14">
        <v>0.0155</v>
      </c>
      <c r="P12" s="14">
        <v>0.0657</v>
      </c>
      <c r="Q12" s="14">
        <v>0.016</v>
      </c>
      <c r="R12" s="14">
        <v>0.0971</v>
      </c>
      <c r="S12" s="14">
        <v>0.0388</v>
      </c>
      <c r="T12" s="16">
        <v>7.0E-4</v>
      </c>
      <c r="U12" s="16">
        <v>2.0E-4</v>
      </c>
      <c r="V12" s="16">
        <v>0.001</v>
      </c>
      <c r="W12" s="16">
        <v>4.0E-4</v>
      </c>
      <c r="X12" s="16">
        <v>0.1183</v>
      </c>
      <c r="Y12" s="16">
        <v>0.088</v>
      </c>
      <c r="Z12" s="16">
        <v>0.5002</v>
      </c>
      <c r="AA12" s="17">
        <v>0.0</v>
      </c>
      <c r="AB12" s="14">
        <v>0.1186</v>
      </c>
      <c r="AC12" s="14">
        <v>0.0867</v>
      </c>
      <c r="AD12" s="14">
        <v>0.4855</v>
      </c>
      <c r="AE12" s="17">
        <v>0.0</v>
      </c>
    </row>
    <row r="13">
      <c r="A13" s="10">
        <v>11.0</v>
      </c>
      <c r="B13" s="10" t="s">
        <v>33</v>
      </c>
      <c r="C13" s="11" t="s">
        <v>25</v>
      </c>
      <c r="D13" s="12">
        <v>73.0</v>
      </c>
      <c r="E13" s="12">
        <v>160.0</v>
      </c>
      <c r="F13" s="12">
        <v>26.0</v>
      </c>
      <c r="G13" s="13">
        <v>8481.9</v>
      </c>
      <c r="H13" s="13">
        <v>9.481</v>
      </c>
      <c r="I13" s="13">
        <v>2305.7</v>
      </c>
      <c r="J13" s="14">
        <v>0.7512</v>
      </c>
      <c r="K13" s="14">
        <v>0.6241</v>
      </c>
      <c r="L13" s="14">
        <v>0.0304</v>
      </c>
      <c r="M13" s="14">
        <v>0.0114</v>
      </c>
      <c r="N13" s="14">
        <v>0.0833</v>
      </c>
      <c r="O13" s="14">
        <v>0.0139</v>
      </c>
      <c r="P13" s="14">
        <v>0.1121</v>
      </c>
      <c r="Q13" s="14">
        <v>0.0262</v>
      </c>
      <c r="R13" s="14">
        <v>0.1629</v>
      </c>
      <c r="S13" s="14">
        <v>0.0586</v>
      </c>
      <c r="T13" s="16">
        <v>5.0E-4</v>
      </c>
      <c r="U13" s="16">
        <v>1.0E-4</v>
      </c>
      <c r="V13" s="16">
        <v>7.0E-4</v>
      </c>
      <c r="W13" s="16">
        <v>2.0E-4</v>
      </c>
      <c r="X13" s="16">
        <v>0.1195</v>
      </c>
      <c r="Y13" s="16">
        <v>0.1141</v>
      </c>
      <c r="Z13" s="16">
        <v>0.4926</v>
      </c>
      <c r="AA13" s="17">
        <v>0.0</v>
      </c>
      <c r="AB13" s="14">
        <v>0.1259</v>
      </c>
      <c r="AC13" s="14">
        <v>0.12</v>
      </c>
      <c r="AD13" s="14">
        <v>0.5509</v>
      </c>
      <c r="AE13" s="17">
        <v>0.0</v>
      </c>
    </row>
    <row r="14">
      <c r="A14" s="10">
        <v>12.0</v>
      </c>
      <c r="B14" s="10" t="s">
        <v>34</v>
      </c>
      <c r="C14" s="11" t="s">
        <v>21</v>
      </c>
      <c r="D14" s="38">
        <v>133.0</v>
      </c>
      <c r="E14" s="38">
        <v>287.0</v>
      </c>
      <c r="F14" s="38">
        <v>26.0</v>
      </c>
      <c r="G14" s="39">
        <v>2343.5431</v>
      </c>
      <c r="H14" s="39">
        <v>10.322</v>
      </c>
      <c r="I14" s="39">
        <v>983.6359</v>
      </c>
      <c r="J14" s="40">
        <v>0.7303</v>
      </c>
      <c r="K14" s="40">
        <v>0.5939</v>
      </c>
      <c r="L14" s="41">
        <v>0.0327</v>
      </c>
      <c r="M14" s="42">
        <v>0.0123</v>
      </c>
      <c r="N14" s="42">
        <v>0.0758</v>
      </c>
      <c r="O14" s="42">
        <v>0.0152</v>
      </c>
      <c r="P14" s="14">
        <v>0.101</v>
      </c>
      <c r="Q14" s="42">
        <v>0.0204</v>
      </c>
      <c r="R14" s="42">
        <v>0.1422</v>
      </c>
      <c r="S14" s="42">
        <v>0.0611</v>
      </c>
      <c r="T14" s="43">
        <v>0.001053</v>
      </c>
      <c r="U14" s="43">
        <v>1.94E-4</v>
      </c>
      <c r="V14" s="43">
        <v>0.001494</v>
      </c>
      <c r="W14" s="43">
        <v>6.91E-4</v>
      </c>
      <c r="X14" s="44">
        <v>0.07116</v>
      </c>
      <c r="Y14" s="44">
        <v>0.066892</v>
      </c>
      <c r="Z14" s="44">
        <v>0.319893</v>
      </c>
      <c r="AA14" s="17">
        <v>0.0</v>
      </c>
      <c r="AB14" s="45">
        <v>0.071964</v>
      </c>
      <c r="AC14" s="45">
        <v>0.066436</v>
      </c>
      <c r="AD14" s="45">
        <v>0.327608</v>
      </c>
      <c r="AE14" s="46">
        <v>0.0</v>
      </c>
    </row>
    <row r="15">
      <c r="A15" s="10">
        <v>13.0</v>
      </c>
      <c r="B15" s="10" t="s">
        <v>35</v>
      </c>
      <c r="C15" s="11" t="s">
        <v>21</v>
      </c>
      <c r="D15" s="12">
        <v>160.0</v>
      </c>
      <c r="E15" s="12">
        <v>351.0</v>
      </c>
      <c r="F15" s="12">
        <v>37.0</v>
      </c>
      <c r="G15" s="13">
        <v>3585.0</v>
      </c>
      <c r="H15" s="13">
        <v>13.798742</v>
      </c>
      <c r="I15" s="13">
        <v>1417.980935</v>
      </c>
      <c r="J15" s="47">
        <v>0.740506</v>
      </c>
      <c r="K15" s="14">
        <v>0.609524</v>
      </c>
      <c r="L15" s="14">
        <v>0.027594</v>
      </c>
      <c r="M15" s="14">
        <v>0.009142</v>
      </c>
      <c r="N15" s="14">
        <v>0.050314</v>
      </c>
      <c r="O15" s="14">
        <v>0.006289</v>
      </c>
      <c r="P15" s="14">
        <v>0.074359</v>
      </c>
      <c r="Q15" s="14">
        <v>0.016592</v>
      </c>
      <c r="R15" s="14">
        <v>0.109173</v>
      </c>
      <c r="S15" s="14">
        <v>0.043743</v>
      </c>
      <c r="T15" s="16">
        <v>7.25E-4</v>
      </c>
      <c r="U15" s="16">
        <v>1.65E-4</v>
      </c>
      <c r="V15" s="16">
        <v>0.001029</v>
      </c>
      <c r="W15" s="16">
        <v>4.35E-4</v>
      </c>
      <c r="X15" s="16">
        <v>0.081084</v>
      </c>
      <c r="Y15" s="16">
        <v>0.09484</v>
      </c>
      <c r="Z15" s="16">
        <v>0.443585</v>
      </c>
      <c r="AA15" s="17">
        <v>0.0</v>
      </c>
      <c r="AB15" s="14">
        <v>0.084265</v>
      </c>
      <c r="AC15" s="14">
        <v>0.078744</v>
      </c>
      <c r="AD15" s="14">
        <v>0.371567</v>
      </c>
      <c r="AE15" s="17">
        <v>0.0</v>
      </c>
    </row>
    <row r="16">
      <c r="A16" s="10">
        <v>14.0</v>
      </c>
      <c r="B16" s="10" t="s">
        <v>36</v>
      </c>
      <c r="C16" s="11" t="s">
        <v>23</v>
      </c>
      <c r="D16" s="12">
        <v>270.0</v>
      </c>
      <c r="E16" s="12">
        <v>617.0</v>
      </c>
      <c r="F16" s="12">
        <v>38.0</v>
      </c>
      <c r="G16" s="13">
        <v>6093.07</v>
      </c>
      <c r="H16" s="13">
        <v>13.24</v>
      </c>
      <c r="I16" s="13">
        <v>2057.11</v>
      </c>
      <c r="J16" s="14">
        <v>0.7674</v>
      </c>
      <c r="K16" s="14">
        <v>0.6505</v>
      </c>
      <c r="L16" s="14">
        <v>0.0087</v>
      </c>
      <c r="M16" s="14">
        <v>0.0038</v>
      </c>
      <c r="N16" s="14">
        <v>0.026</v>
      </c>
      <c r="O16" s="14">
        <v>0.0037</v>
      </c>
      <c r="P16" s="14">
        <v>0.0806</v>
      </c>
      <c r="Q16" s="14">
        <v>0.0198</v>
      </c>
      <c r="R16" s="14">
        <v>0.1245</v>
      </c>
      <c r="S16" s="14">
        <v>0.0416</v>
      </c>
      <c r="T16" s="16">
        <v>5.25E-4</v>
      </c>
      <c r="U16" s="16">
        <v>1.44E-4</v>
      </c>
      <c r="V16" s="16">
        <v>8.2E-4</v>
      </c>
      <c r="W16" s="16">
        <v>2.66E-4</v>
      </c>
      <c r="X16" s="16">
        <v>0.0457</v>
      </c>
      <c r="Y16" s="16">
        <v>0.0609</v>
      </c>
      <c r="Z16" s="16">
        <v>0.3662</v>
      </c>
      <c r="AA16" s="17">
        <v>0.0</v>
      </c>
      <c r="AB16" s="14">
        <v>0.0485</v>
      </c>
      <c r="AC16" s="14">
        <v>0.0609</v>
      </c>
      <c r="AD16" s="14">
        <v>0.3666</v>
      </c>
      <c r="AE16" s="17">
        <v>0.0</v>
      </c>
    </row>
    <row r="17">
      <c r="A17" s="10">
        <v>15.0</v>
      </c>
      <c r="B17" s="10" t="s">
        <v>37</v>
      </c>
      <c r="C17" s="11" t="s">
        <v>23</v>
      </c>
      <c r="D17" s="12">
        <v>242.0</v>
      </c>
      <c r="E17" s="12">
        <v>552.0</v>
      </c>
      <c r="F17" s="12">
        <v>44.0</v>
      </c>
      <c r="G17" s="13">
        <v>6219.0</v>
      </c>
      <c r="H17" s="13">
        <v>14.58</v>
      </c>
      <c r="I17" s="13">
        <v>1832.79</v>
      </c>
      <c r="J17" s="14">
        <v>0.6458</v>
      </c>
      <c r="K17" s="14">
        <v>0.4678</v>
      </c>
      <c r="L17" s="14">
        <v>0.018929</v>
      </c>
      <c r="M17" s="14">
        <v>0.007463</v>
      </c>
      <c r="N17" s="14">
        <v>0.058091</v>
      </c>
      <c r="O17" s="14">
        <v>0.008299</v>
      </c>
      <c r="P17" s="14">
        <v>0.074209</v>
      </c>
      <c r="Q17" s="14">
        <v>0.019429</v>
      </c>
      <c r="R17" s="14">
        <v>0.111009</v>
      </c>
      <c r="S17" s="14">
        <v>0.035943</v>
      </c>
      <c r="T17" s="16">
        <v>6.06E-4</v>
      </c>
      <c r="U17" s="16">
        <v>1.78E-4</v>
      </c>
      <c r="V17" s="16">
        <v>9.02E-4</v>
      </c>
      <c r="W17" s="16">
        <v>2.68E-4</v>
      </c>
      <c r="X17" s="16">
        <v>0.056599</v>
      </c>
      <c r="Y17" s="16">
        <v>0.063049</v>
      </c>
      <c r="Z17" s="16">
        <v>0.320689</v>
      </c>
      <c r="AA17" s="17">
        <v>0.0</v>
      </c>
      <c r="AB17" s="14">
        <v>0.057208</v>
      </c>
      <c r="AC17" s="14">
        <v>0.062117</v>
      </c>
      <c r="AD17" s="14">
        <v>0.331553</v>
      </c>
      <c r="AE17" s="17">
        <v>0.0</v>
      </c>
    </row>
    <row r="18">
      <c r="A18" s="10">
        <v>16.0</v>
      </c>
      <c r="B18" s="10" t="s">
        <v>38</v>
      </c>
      <c r="C18" s="11" t="s">
        <v>21</v>
      </c>
      <c r="D18" s="12">
        <v>239.0</v>
      </c>
      <c r="E18" s="12">
        <v>516.0</v>
      </c>
      <c r="F18" s="12">
        <v>58.0</v>
      </c>
      <c r="G18" s="13">
        <v>6170.6</v>
      </c>
      <c r="H18" s="13">
        <v>19.5026</v>
      </c>
      <c r="I18" s="13">
        <v>1804.73</v>
      </c>
      <c r="J18" s="14">
        <v>0.7257</v>
      </c>
      <c r="K18" s="14">
        <v>0.5877</v>
      </c>
      <c r="L18" s="14">
        <v>0.0181</v>
      </c>
      <c r="M18" s="14">
        <v>0.0054</v>
      </c>
      <c r="N18" s="14">
        <v>0.042</v>
      </c>
      <c r="O18" s="14">
        <v>0.0084</v>
      </c>
      <c r="P18" s="14">
        <v>0.0546</v>
      </c>
      <c r="Q18" s="14">
        <v>0.0134</v>
      </c>
      <c r="R18" s="14">
        <v>0.083</v>
      </c>
      <c r="S18" s="14">
        <v>0.03</v>
      </c>
      <c r="T18" s="16">
        <v>5.9E-4</v>
      </c>
      <c r="U18" s="16">
        <v>1.53E-4</v>
      </c>
      <c r="V18" s="16">
        <v>0.00905</v>
      </c>
      <c r="W18" s="16">
        <v>2.69E-4</v>
      </c>
      <c r="X18" s="16">
        <v>0.07807</v>
      </c>
      <c r="Y18" s="16">
        <v>0.08132</v>
      </c>
      <c r="Z18" s="16">
        <v>0.3926</v>
      </c>
      <c r="AA18" s="17">
        <v>0.0</v>
      </c>
      <c r="AB18" s="14">
        <v>0.07898</v>
      </c>
      <c r="AC18" s="14">
        <v>0.07852</v>
      </c>
      <c r="AD18" s="14">
        <v>0.379</v>
      </c>
      <c r="AE18" s="17">
        <v>0.0</v>
      </c>
    </row>
    <row r="19">
      <c r="A19" s="10">
        <v>17.0</v>
      </c>
      <c r="B19" s="10" t="s">
        <v>39</v>
      </c>
      <c r="C19" s="11" t="s">
        <v>21</v>
      </c>
      <c r="D19" s="12">
        <v>89.0</v>
      </c>
      <c r="E19" s="12">
        <v>186.0</v>
      </c>
      <c r="F19" s="12">
        <v>30.0</v>
      </c>
      <c r="G19" s="13">
        <v>3368.1819</v>
      </c>
      <c r="H19" s="13">
        <v>11.2513</v>
      </c>
      <c r="I19" s="48">
        <v>1283.908</v>
      </c>
      <c r="J19" s="49">
        <v>0.712643678</v>
      </c>
      <c r="K19" s="49">
        <v>0.56647399</v>
      </c>
      <c r="L19" s="14">
        <v>0.047497446</v>
      </c>
      <c r="M19" s="14">
        <v>0.011176375</v>
      </c>
      <c r="N19" s="14">
        <v>0.09090909</v>
      </c>
      <c r="O19" s="14">
        <v>0.022727273</v>
      </c>
      <c r="P19" s="14">
        <v>0.094397653</v>
      </c>
      <c r="Q19" s="14">
        <v>0.022567005</v>
      </c>
      <c r="R19" s="14">
        <v>0.1339422</v>
      </c>
      <c r="S19" s="14">
        <v>0.05382263</v>
      </c>
      <c r="T19" s="16">
        <v>8.24455E-4</v>
      </c>
      <c r="U19" s="16">
        <v>1.90197E-4</v>
      </c>
      <c r="V19" s="16">
        <v>0.001159072</v>
      </c>
      <c r="W19" s="16">
        <v>4.79142E-4</v>
      </c>
      <c r="X19" s="16">
        <v>0.117830768</v>
      </c>
      <c r="Y19" s="16">
        <v>0.085732957</v>
      </c>
      <c r="Z19" s="16">
        <v>0.43164403</v>
      </c>
      <c r="AA19" s="17">
        <v>0.0</v>
      </c>
      <c r="AB19" s="49">
        <v>0.118014218</v>
      </c>
      <c r="AC19" s="14">
        <v>0.083512717</v>
      </c>
      <c r="AD19" s="14">
        <v>0.42097701</v>
      </c>
      <c r="AE19" s="17">
        <v>0.0</v>
      </c>
    </row>
    <row r="20">
      <c r="A20" s="10">
        <v>18.0</v>
      </c>
      <c r="B20" s="10" t="s">
        <v>40</v>
      </c>
      <c r="C20" s="11" t="s">
        <v>23</v>
      </c>
      <c r="D20" s="12">
        <v>424.0</v>
      </c>
      <c r="E20" s="12">
        <v>1047.0</v>
      </c>
      <c r="F20" s="12">
        <v>38.0</v>
      </c>
      <c r="G20" s="13">
        <v>6528.67</v>
      </c>
      <c r="H20" s="13">
        <v>11.79</v>
      </c>
      <c r="I20" s="13">
        <v>2103.34</v>
      </c>
      <c r="J20" s="14">
        <v>0.0061</v>
      </c>
      <c r="K20" s="14">
        <v>0.1345</v>
      </c>
      <c r="L20" s="14">
        <v>0.0061</v>
      </c>
      <c r="M20" s="14">
        <v>0.0031</v>
      </c>
      <c r="N20" s="14">
        <v>0.0217</v>
      </c>
      <c r="O20" s="14">
        <v>0.0024</v>
      </c>
      <c r="P20" s="14">
        <v>0.0894</v>
      </c>
      <c r="Q20" s="14">
        <v>0.0196</v>
      </c>
      <c r="R20" s="14">
        <v>0.1374</v>
      </c>
      <c r="S20" s="14">
        <v>0.0422</v>
      </c>
      <c r="T20" s="16">
        <v>5.0E-4</v>
      </c>
      <c r="U20" s="16">
        <v>1.0E-4</v>
      </c>
      <c r="V20" s="16">
        <v>7.0E-4</v>
      </c>
      <c r="W20" s="16">
        <v>3.0E-4</v>
      </c>
      <c r="X20" s="16">
        <v>0.026125</v>
      </c>
      <c r="Y20" s="16">
        <v>0.049209</v>
      </c>
      <c r="Z20" s="16">
        <v>0.386191</v>
      </c>
      <c r="AA20" s="17">
        <v>0.0</v>
      </c>
      <c r="AB20" s="14">
        <v>0.030223</v>
      </c>
      <c r="AC20" s="14">
        <v>0.043037</v>
      </c>
      <c r="AD20" s="14">
        <v>0.269794</v>
      </c>
      <c r="AE20" s="17">
        <v>0.0</v>
      </c>
    </row>
    <row r="21">
      <c r="A21" s="10">
        <v>19.0</v>
      </c>
      <c r="B21" s="10" t="s">
        <v>41</v>
      </c>
      <c r="C21" s="11" t="s">
        <v>21</v>
      </c>
      <c r="D21" s="12">
        <v>90.0</v>
      </c>
      <c r="E21" s="12">
        <v>103.0</v>
      </c>
      <c r="F21" s="12">
        <v>35.0</v>
      </c>
      <c r="G21" s="50">
        <v>3244.91</v>
      </c>
      <c r="H21" s="50">
        <v>11.6497</v>
      </c>
      <c r="I21" s="50">
        <v>1133.82</v>
      </c>
      <c r="J21" s="42">
        <v>0.3902</v>
      </c>
      <c r="K21" s="41">
        <v>0.08</v>
      </c>
      <c r="L21" s="14">
        <v>0.0257</v>
      </c>
      <c r="M21" s="14">
        <v>0.0082</v>
      </c>
      <c r="N21" s="14">
        <v>0.0562</v>
      </c>
      <c r="O21" s="14">
        <v>0.0112</v>
      </c>
      <c r="P21" s="14">
        <v>0.0923</v>
      </c>
      <c r="Q21" s="14">
        <v>0.0234</v>
      </c>
      <c r="R21" s="14">
        <v>0.1391</v>
      </c>
      <c r="S21" s="14">
        <v>0.0487</v>
      </c>
      <c r="T21" s="16">
        <v>9.0E-4</v>
      </c>
      <c r="U21" s="16">
        <v>2.0E-4</v>
      </c>
      <c r="V21" s="16">
        <v>0.0013</v>
      </c>
      <c r="W21" s="16">
        <v>5.0E-4</v>
      </c>
      <c r="X21" s="16">
        <v>0.121</v>
      </c>
      <c r="Y21" s="16">
        <v>0.1055</v>
      </c>
      <c r="Z21" s="16">
        <v>0.4304</v>
      </c>
      <c r="AA21" s="17">
        <v>0.0</v>
      </c>
      <c r="AB21" s="14">
        <v>0.1234</v>
      </c>
      <c r="AC21" s="14">
        <v>0.0984</v>
      </c>
      <c r="AD21" s="14">
        <v>0.4086</v>
      </c>
      <c r="AE21" s="17">
        <v>0.0</v>
      </c>
    </row>
    <row r="22">
      <c r="A22" s="10">
        <v>20.0</v>
      </c>
      <c r="B22" s="10" t="s">
        <v>42</v>
      </c>
      <c r="C22" s="11" t="s">
        <v>23</v>
      </c>
      <c r="D22" s="12">
        <v>306.0</v>
      </c>
      <c r="E22" s="12">
        <v>717.0</v>
      </c>
      <c r="F22" s="12">
        <v>34.0</v>
      </c>
      <c r="G22" s="51">
        <v>3274.73</v>
      </c>
      <c r="H22" s="51">
        <v>11.9</v>
      </c>
      <c r="I22" s="51">
        <v>1039.53</v>
      </c>
      <c r="J22" s="52">
        <v>0.7862</v>
      </c>
      <c r="K22" s="52">
        <v>0.6787</v>
      </c>
      <c r="L22" s="52">
        <v>0.0154</v>
      </c>
      <c r="M22" s="52">
        <v>0.0073</v>
      </c>
      <c r="N22" s="52">
        <v>0.0525</v>
      </c>
      <c r="O22" s="52">
        <v>0.0066</v>
      </c>
      <c r="P22" s="52">
        <v>0.0883</v>
      </c>
      <c r="Q22" s="52">
        <v>0.019</v>
      </c>
      <c r="R22" s="52">
        <v>0.1323</v>
      </c>
      <c r="S22" s="52">
        <v>0.0459</v>
      </c>
      <c r="T22" s="53">
        <v>0.001013</v>
      </c>
      <c r="U22" s="53">
        <v>2.17E-4</v>
      </c>
      <c r="V22" s="53">
        <v>0.001477</v>
      </c>
      <c r="W22" s="53">
        <v>4.65E-4</v>
      </c>
      <c r="X22" s="53">
        <v>0.035842</v>
      </c>
      <c r="Y22" s="53">
        <v>0.044869</v>
      </c>
      <c r="Z22" s="53">
        <v>0.332082</v>
      </c>
      <c r="AA22" s="54">
        <v>0.0</v>
      </c>
      <c r="AB22" s="52">
        <v>0.036748</v>
      </c>
      <c r="AC22" s="52">
        <v>0.04054</v>
      </c>
      <c r="AD22" s="52">
        <v>0.296862</v>
      </c>
      <c r="AE22" s="54">
        <v>0.0</v>
      </c>
    </row>
    <row r="23">
      <c r="A23" s="10">
        <v>21.0</v>
      </c>
      <c r="B23" s="10" t="s">
        <v>43</v>
      </c>
      <c r="C23" s="11" t="s">
        <v>23</v>
      </c>
      <c r="D23" s="12">
        <v>50.0</v>
      </c>
      <c r="E23" s="12">
        <v>109.0</v>
      </c>
      <c r="F23" s="12">
        <v>26.0</v>
      </c>
      <c r="G23" s="13">
        <v>2721.85</v>
      </c>
      <c r="H23" s="13">
        <v>9.71</v>
      </c>
      <c r="I23" s="13">
        <v>1014.72</v>
      </c>
      <c r="J23" s="14">
        <v>0.7569</v>
      </c>
      <c r="K23" s="14">
        <v>0.6316</v>
      </c>
      <c r="L23" s="14">
        <v>0.089</v>
      </c>
      <c r="M23" s="14">
        <v>0.0299</v>
      </c>
      <c r="N23" s="14">
        <v>0.2041</v>
      </c>
      <c r="O23" s="14">
        <v>0.0408</v>
      </c>
      <c r="P23" s="14">
        <v>0.1091</v>
      </c>
      <c r="Q23" s="14">
        <v>0.025</v>
      </c>
      <c r="R23" s="14">
        <v>0.1565</v>
      </c>
      <c r="S23" s="14">
        <v>0.0609</v>
      </c>
      <c r="T23" s="16">
        <v>0.001</v>
      </c>
      <c r="U23" s="16">
        <v>2.51E-4</v>
      </c>
      <c r="V23" s="16">
        <v>0.001498</v>
      </c>
      <c r="W23" s="16">
        <v>6.211E-4</v>
      </c>
      <c r="X23" s="16">
        <v>0.1814</v>
      </c>
      <c r="Y23" s="16">
        <v>0.1415</v>
      </c>
      <c r="Z23" s="16">
        <v>0.6131</v>
      </c>
      <c r="AA23" s="17">
        <v>0.0</v>
      </c>
      <c r="AB23" s="14">
        <v>0.1894</v>
      </c>
      <c r="AC23" s="14">
        <v>0.1519</v>
      </c>
      <c r="AD23" s="14">
        <v>0.6514</v>
      </c>
      <c r="AE23" s="17">
        <v>0.0</v>
      </c>
    </row>
    <row r="24">
      <c r="A24" s="10">
        <v>22.0</v>
      </c>
      <c r="B24" s="10" t="s">
        <v>44</v>
      </c>
      <c r="C24" s="11" t="s">
        <v>21</v>
      </c>
      <c r="D24" s="55"/>
      <c r="E24" s="55"/>
      <c r="F24" s="12"/>
      <c r="G24" s="13"/>
      <c r="H24" s="13"/>
      <c r="I24" s="13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6"/>
      <c r="U24" s="16"/>
      <c r="V24" s="16"/>
      <c r="W24" s="16"/>
      <c r="X24" s="16"/>
      <c r="Y24" s="16"/>
      <c r="Z24" s="16"/>
      <c r="AA24" s="17"/>
      <c r="AB24" s="14"/>
      <c r="AC24" s="14"/>
      <c r="AD24" s="35"/>
      <c r="AE24" s="17"/>
    </row>
    <row r="25">
      <c r="A25" s="10">
        <v>23.0</v>
      </c>
      <c r="B25" s="10" t="s">
        <v>45</v>
      </c>
      <c r="C25" s="11" t="s">
        <v>46</v>
      </c>
      <c r="D25" s="12">
        <v>188.0</v>
      </c>
      <c r="E25" s="12">
        <v>389.0</v>
      </c>
      <c r="F25" s="12">
        <v>44.0</v>
      </c>
      <c r="G25" s="13">
        <v>2906.72</v>
      </c>
      <c r="H25" s="13">
        <v>13.77</v>
      </c>
      <c r="I25" s="13">
        <v>1069.16</v>
      </c>
      <c r="J25" s="14">
        <v>0.6971</v>
      </c>
      <c r="K25" s="14">
        <v>0.5445</v>
      </c>
      <c r="L25" s="14">
        <v>0.0221</v>
      </c>
      <c r="M25" s="14">
        <v>0.0073</v>
      </c>
      <c r="N25" s="14">
        <v>0.0535</v>
      </c>
      <c r="O25" s="14">
        <v>0.0107</v>
      </c>
      <c r="P25" s="14">
        <v>0.0775</v>
      </c>
      <c r="Q25" s="14">
        <v>0.0184</v>
      </c>
      <c r="R25" s="14">
        <v>0.1182</v>
      </c>
      <c r="S25" s="14">
        <v>0.0356</v>
      </c>
      <c r="T25" s="16">
        <v>9.76E-4</v>
      </c>
      <c r="U25" s="16">
        <v>1.95E-4</v>
      </c>
      <c r="V25" s="16">
        <v>0.001361</v>
      </c>
      <c r="W25" s="16">
        <v>5.5E-4</v>
      </c>
      <c r="X25" s="16">
        <v>0.0686</v>
      </c>
      <c r="Y25" s="16">
        <v>0.0636</v>
      </c>
      <c r="Z25" s="16">
        <v>0.356</v>
      </c>
      <c r="AA25" s="17">
        <v>0.0</v>
      </c>
      <c r="AB25" s="14">
        <v>0.0699</v>
      </c>
      <c r="AC25" s="14">
        <v>0.0686</v>
      </c>
      <c r="AD25" s="14">
        <v>0.3484</v>
      </c>
      <c r="AE25" s="17">
        <v>0.0</v>
      </c>
    </row>
    <row r="26">
      <c r="A26" s="10">
        <v>24.0</v>
      </c>
      <c r="B26" s="10" t="s">
        <v>47</v>
      </c>
      <c r="C26" s="11" t="s">
        <v>23</v>
      </c>
      <c r="D26" s="12">
        <v>119.0</v>
      </c>
      <c r="E26" s="12">
        <v>333.0</v>
      </c>
      <c r="F26" s="12">
        <v>24.0</v>
      </c>
      <c r="G26" s="13">
        <v>3306.31</v>
      </c>
      <c r="H26" s="13">
        <v>8.83</v>
      </c>
      <c r="I26" s="13">
        <v>998.85</v>
      </c>
      <c r="J26" s="14">
        <v>0.501</v>
      </c>
      <c r="K26" s="14">
        <v>0.248</v>
      </c>
      <c r="L26" s="26">
        <v>0.047429</v>
      </c>
      <c r="M26" s="26">
        <v>0.016996</v>
      </c>
      <c r="N26" s="26">
        <v>0.101695</v>
      </c>
      <c r="O26" s="26">
        <v>0.016949</v>
      </c>
      <c r="P26" s="56">
        <v>0.118284</v>
      </c>
      <c r="Q26" s="56">
        <v>0.024036</v>
      </c>
      <c r="R26" s="56">
        <v>0.162088</v>
      </c>
      <c r="S26" s="56">
        <v>0.070828</v>
      </c>
      <c r="T26" s="57">
        <v>0.001067</v>
      </c>
      <c r="U26" s="57">
        <v>2.53E-4</v>
      </c>
      <c r="V26" s="57">
        <v>0.001493</v>
      </c>
      <c r="W26" s="57">
        <v>5.34E-4</v>
      </c>
      <c r="X26" s="57">
        <v>0.072615</v>
      </c>
      <c r="Y26" s="57">
        <v>0.067997</v>
      </c>
      <c r="Z26" s="57">
        <v>0.32151</v>
      </c>
      <c r="AA26" s="17">
        <v>0.0</v>
      </c>
      <c r="AB26" s="26">
        <v>0.085034</v>
      </c>
      <c r="AC26" s="26">
        <v>0.074041</v>
      </c>
      <c r="AD26" s="26">
        <v>0.30465</v>
      </c>
      <c r="AE26" s="17">
        <v>0.0</v>
      </c>
    </row>
    <row r="27" ht="16.5" customHeight="1">
      <c r="A27" s="10">
        <v>25.0</v>
      </c>
      <c r="B27" s="10" t="s">
        <v>48</v>
      </c>
      <c r="C27" s="11" t="s">
        <v>21</v>
      </c>
      <c r="D27" s="55">
        <v>86.0</v>
      </c>
      <c r="E27" s="55">
        <v>176.0</v>
      </c>
      <c r="F27" s="12">
        <v>29.0</v>
      </c>
      <c r="G27" s="13">
        <v>3290.399</v>
      </c>
      <c r="H27" s="58">
        <v>11.801</v>
      </c>
      <c r="I27" s="58">
        <v>1304.306</v>
      </c>
      <c r="J27" s="59">
        <v>0.698</v>
      </c>
      <c r="K27" s="59">
        <v>0.545</v>
      </c>
      <c r="L27" s="59">
        <v>0.0482</v>
      </c>
      <c r="M27" s="59">
        <v>0.0139</v>
      </c>
      <c r="N27" s="59">
        <v>0.1176</v>
      </c>
      <c r="O27" s="59">
        <v>0.0235</v>
      </c>
      <c r="P27" s="60">
        <v>0.0901</v>
      </c>
      <c r="Q27" s="60">
        <v>0.0223</v>
      </c>
      <c r="R27" s="60">
        <v>0.1391</v>
      </c>
      <c r="S27" s="60">
        <v>0.0533</v>
      </c>
      <c r="T27" s="61">
        <v>0.00814</v>
      </c>
      <c r="U27" s="62">
        <v>1.96E-4</v>
      </c>
      <c r="V27" s="63">
        <v>0.001225</v>
      </c>
      <c r="W27" s="62">
        <v>4.74E-4</v>
      </c>
      <c r="X27" s="63">
        <v>0.1286</v>
      </c>
      <c r="Y27" s="63">
        <v>0.1122</v>
      </c>
      <c r="Z27" s="63">
        <v>0.623</v>
      </c>
      <c r="AA27" s="64">
        <v>0.0</v>
      </c>
      <c r="AB27" s="60">
        <v>0.1286</v>
      </c>
      <c r="AC27" s="26">
        <v>0.1135</v>
      </c>
      <c r="AD27" s="60">
        <v>0.6211</v>
      </c>
      <c r="AE27" s="65">
        <v>0.0</v>
      </c>
    </row>
    <row r="28">
      <c r="A28" s="66">
        <v>26.0</v>
      </c>
      <c r="B28" s="67" t="s">
        <v>49</v>
      </c>
      <c r="C28" s="68" t="s">
        <v>25</v>
      </c>
      <c r="D28" s="69">
        <v>450.0</v>
      </c>
      <c r="E28" s="69">
        <v>651.0</v>
      </c>
      <c r="F28" s="69">
        <v>59.0</v>
      </c>
      <c r="G28" s="70">
        <v>12634.39</v>
      </c>
      <c r="H28" s="70">
        <v>22.9218</v>
      </c>
      <c r="I28" s="70">
        <v>4618.4367</v>
      </c>
      <c r="J28" s="35">
        <v>0.4844</v>
      </c>
      <c r="K28" s="35">
        <v>0.2257</v>
      </c>
      <c r="L28" s="35">
        <v>0.0064</v>
      </c>
      <c r="M28" s="35">
        <v>0.0028</v>
      </c>
      <c r="N28" s="35">
        <v>0.0223</v>
      </c>
      <c r="O28" s="35">
        <v>0.0022</v>
      </c>
      <c r="P28" s="35">
        <v>0.030927</v>
      </c>
      <c r="Q28" s="35">
        <v>0.011479</v>
      </c>
      <c r="R28" s="35">
        <v>0.06207</v>
      </c>
      <c r="S28" s="35">
        <v>0.0</v>
      </c>
      <c r="T28" s="71">
        <v>1.55E-4</v>
      </c>
      <c r="U28" s="71">
        <v>5.5E-5</v>
      </c>
      <c r="V28" s="71">
        <v>2.69E-4</v>
      </c>
      <c r="W28" s="71">
        <v>0.0</v>
      </c>
      <c r="X28" s="71">
        <v>0.031534</v>
      </c>
      <c r="Y28" s="71">
        <v>0.043066</v>
      </c>
      <c r="Z28" s="71">
        <v>0.251138</v>
      </c>
      <c r="AA28" s="72">
        <v>0.0</v>
      </c>
      <c r="AB28" s="35">
        <v>0.033713</v>
      </c>
      <c r="AC28" s="35">
        <v>0.045019</v>
      </c>
      <c r="AD28" s="35">
        <v>0.266927</v>
      </c>
      <c r="AE28" s="72">
        <v>0.0</v>
      </c>
    </row>
    <row r="29">
      <c r="A29" s="10">
        <v>27.0</v>
      </c>
      <c r="B29" s="10" t="s">
        <v>50</v>
      </c>
      <c r="C29" s="11" t="s">
        <v>21</v>
      </c>
      <c r="D29" s="12">
        <v>298.0</v>
      </c>
      <c r="E29" s="12">
        <v>438.0</v>
      </c>
      <c r="F29" s="12">
        <v>117.0</v>
      </c>
      <c r="G29" s="13">
        <v>9576.79</v>
      </c>
      <c r="H29" s="73">
        <v>41.53</v>
      </c>
      <c r="I29" s="73">
        <v>3439.68</v>
      </c>
      <c r="J29" s="14">
        <v>0.4932</v>
      </c>
      <c r="K29" s="14">
        <v>0.2386</v>
      </c>
      <c r="L29" s="28">
        <v>0.0099</v>
      </c>
      <c r="M29" s="14">
        <v>0.0036</v>
      </c>
      <c r="N29" s="14">
        <v>0.0236</v>
      </c>
      <c r="O29" s="14">
        <v>0.0067</v>
      </c>
      <c r="P29" s="14">
        <v>0.0257</v>
      </c>
      <c r="Q29" s="14">
        <v>0.0066</v>
      </c>
      <c r="R29" s="14">
        <v>0.0407</v>
      </c>
      <c r="S29" s="14">
        <v>0.0137</v>
      </c>
      <c r="T29" s="16">
        <v>3.0E-4</v>
      </c>
      <c r="U29" s="16">
        <v>1.0E-4</v>
      </c>
      <c r="V29" s="16">
        <v>5.0E-4</v>
      </c>
      <c r="W29" s="16">
        <v>2.0E-4</v>
      </c>
      <c r="X29" s="16">
        <v>0.1369</v>
      </c>
      <c r="Y29" s="16">
        <v>0.1201</v>
      </c>
      <c r="Z29" s="16">
        <v>0.6933</v>
      </c>
      <c r="AA29" s="17">
        <v>0.0</v>
      </c>
      <c r="AB29" s="14">
        <v>0.1369</v>
      </c>
      <c r="AC29" s="14">
        <v>0.1201</v>
      </c>
      <c r="AD29" s="14">
        <v>0.6933</v>
      </c>
      <c r="AE29" s="17">
        <v>0.0</v>
      </c>
    </row>
    <row r="30">
      <c r="A30" s="10">
        <v>28.0</v>
      </c>
      <c r="B30" s="10" t="s">
        <v>51</v>
      </c>
      <c r="C30" s="11" t="s">
        <v>23</v>
      </c>
      <c r="D30" s="12">
        <v>95.0</v>
      </c>
      <c r="E30" s="12">
        <v>196.0</v>
      </c>
      <c r="F30" s="12">
        <v>47.0</v>
      </c>
      <c r="G30" s="13">
        <v>6912.9</v>
      </c>
      <c r="H30" s="13">
        <v>16.61</v>
      </c>
      <c r="I30" s="13">
        <v>2063.96</v>
      </c>
      <c r="J30" s="14">
        <v>0.7025</v>
      </c>
      <c r="K30" s="14">
        <v>0.5514</v>
      </c>
      <c r="L30" s="14">
        <v>0.0439</v>
      </c>
      <c r="M30" s="14">
        <v>0.0115</v>
      </c>
      <c r="N30" s="14">
        <v>0.1064</v>
      </c>
      <c r="O30" s="14">
        <v>0.0213</v>
      </c>
      <c r="P30" s="14">
        <v>0.0644</v>
      </c>
      <c r="Q30" s="14">
        <v>0.0165</v>
      </c>
      <c r="R30" s="14">
        <v>0.0986</v>
      </c>
      <c r="S30" s="14">
        <v>0.0359</v>
      </c>
      <c r="T30" s="16">
        <v>5.0E-4</v>
      </c>
      <c r="U30" s="16">
        <v>1.0E-4</v>
      </c>
      <c r="V30" s="16">
        <v>8.0E-4</v>
      </c>
      <c r="W30" s="16">
        <v>2.0E-4</v>
      </c>
      <c r="X30" s="16">
        <v>0.1678</v>
      </c>
      <c r="Y30" s="16">
        <v>0.1285</v>
      </c>
      <c r="Z30" s="16">
        <v>0.6205</v>
      </c>
      <c r="AA30" s="17">
        <v>0.0</v>
      </c>
      <c r="AB30" s="14">
        <v>0.1691</v>
      </c>
      <c r="AC30" s="14">
        <v>0.1273</v>
      </c>
      <c r="AD30" s="14">
        <v>0.6255</v>
      </c>
      <c r="AE30" s="17">
        <v>0.0</v>
      </c>
    </row>
    <row r="31">
      <c r="A31" s="10">
        <v>29.0</v>
      </c>
      <c r="B31" s="10" t="s">
        <v>52</v>
      </c>
      <c r="C31" s="11" t="s">
        <v>21</v>
      </c>
      <c r="D31" s="12">
        <v>120.0</v>
      </c>
      <c r="E31" s="12">
        <v>225.0</v>
      </c>
      <c r="F31" s="12">
        <v>37.0</v>
      </c>
      <c r="G31" s="13">
        <v>3959.421</v>
      </c>
      <c r="H31" s="13">
        <v>12.0705</v>
      </c>
      <c r="I31" s="13">
        <v>1361.2855</v>
      </c>
      <c r="J31" s="14">
        <v>0.7203</v>
      </c>
      <c r="K31" s="14">
        <v>0.5787</v>
      </c>
      <c r="L31" s="14">
        <v>0.0357</v>
      </c>
      <c r="M31" s="14">
        <v>0.0132</v>
      </c>
      <c r="N31" s="14">
        <v>0.084</v>
      </c>
      <c r="O31" s="14">
        <v>0.0084</v>
      </c>
      <c r="P31" s="14">
        <v>0.0841</v>
      </c>
      <c r="Q31" s="14">
        <v>0.02134</v>
      </c>
      <c r="R31" s="14">
        <v>0.121</v>
      </c>
      <c r="S31" s="14">
        <v>0.0443</v>
      </c>
      <c r="T31" s="16">
        <v>2.0E-4</v>
      </c>
      <c r="U31" s="16">
        <v>5.8176</v>
      </c>
      <c r="V31" s="16">
        <v>3.0E-4</v>
      </c>
      <c r="W31" s="16">
        <v>0.0</v>
      </c>
      <c r="X31" s="16">
        <v>0.0981</v>
      </c>
      <c r="Y31" s="16">
        <v>0.0756</v>
      </c>
      <c r="Z31" s="16">
        <v>0.3575</v>
      </c>
      <c r="AA31" s="17">
        <v>0.0</v>
      </c>
      <c r="AB31" s="14">
        <v>0.1023</v>
      </c>
      <c r="AC31" s="14">
        <v>0.0725</v>
      </c>
      <c r="AD31" s="14">
        <v>0.3923</v>
      </c>
      <c r="AE31" s="17">
        <v>0.0</v>
      </c>
    </row>
    <row r="32">
      <c r="A32" s="10">
        <v>30.0</v>
      </c>
      <c r="B32" s="10" t="s">
        <v>53</v>
      </c>
      <c r="C32" s="11" t="s">
        <v>21</v>
      </c>
      <c r="D32" s="12">
        <v>204.0</v>
      </c>
      <c r="E32" s="12">
        <v>445.0</v>
      </c>
      <c r="F32" s="12">
        <v>43.0</v>
      </c>
      <c r="G32" s="13">
        <v>2824.62</v>
      </c>
      <c r="H32" s="13">
        <v>14.88</v>
      </c>
      <c r="I32" s="13">
        <v>1006.15</v>
      </c>
      <c r="J32" s="14">
        <v>0.3713</v>
      </c>
      <c r="K32" s="14">
        <v>0.0546</v>
      </c>
      <c r="L32" s="14">
        <v>0.021491</v>
      </c>
      <c r="M32" s="14">
        <v>0.007581</v>
      </c>
      <c r="N32" s="14">
        <v>0.059113</v>
      </c>
      <c r="O32" s="14">
        <v>0.009852</v>
      </c>
      <c r="P32" s="14">
        <v>0.071531</v>
      </c>
      <c r="Q32" s="14">
        <v>0.017584</v>
      </c>
      <c r="R32" s="14">
        <v>0.109493</v>
      </c>
      <c r="S32" s="14">
        <v>0.038151</v>
      </c>
      <c r="T32" s="16">
        <v>0.001043</v>
      </c>
      <c r="U32" s="16">
        <v>2.25E-4</v>
      </c>
      <c r="V32" s="16">
        <v>0.001531</v>
      </c>
      <c r="W32" s="16">
        <v>6.03E-4</v>
      </c>
      <c r="X32" s="16">
        <v>0.068733</v>
      </c>
      <c r="Y32" s="16">
        <v>0.072321</v>
      </c>
      <c r="Z32" s="16">
        <v>0.373138</v>
      </c>
      <c r="AA32" s="17">
        <v>0.0</v>
      </c>
      <c r="AB32" s="14">
        <v>0.070002</v>
      </c>
      <c r="AC32" s="14">
        <v>0.068377</v>
      </c>
      <c r="AD32" s="14">
        <v>0.346437</v>
      </c>
      <c r="AE32" s="17">
        <v>0.0</v>
      </c>
    </row>
    <row r="33">
      <c r="A33" s="10">
        <v>31.0</v>
      </c>
      <c r="B33" s="10" t="s">
        <v>54</v>
      </c>
      <c r="C33" s="11" t="s">
        <v>25</v>
      </c>
      <c r="D33" s="12"/>
      <c r="E33" s="12"/>
      <c r="F33" s="12"/>
      <c r="G33" s="13"/>
      <c r="H33" s="13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6"/>
      <c r="U33" s="16"/>
      <c r="V33" s="16"/>
      <c r="W33" s="16"/>
      <c r="X33" s="16"/>
      <c r="Y33" s="16"/>
      <c r="Z33" s="16"/>
      <c r="AA33" s="17"/>
      <c r="AB33" s="14"/>
      <c r="AC33" s="14"/>
      <c r="AD33" s="14"/>
      <c r="AE33" s="17"/>
    </row>
    <row r="34">
      <c r="A34" s="10">
        <v>32.0</v>
      </c>
      <c r="B34" s="10" t="s">
        <v>55</v>
      </c>
      <c r="C34" s="11" t="s">
        <v>21</v>
      </c>
      <c r="D34" s="12">
        <v>133.0</v>
      </c>
      <c r="E34" s="12">
        <v>150.0</v>
      </c>
      <c r="F34" s="12">
        <v>35.0</v>
      </c>
      <c r="G34" s="13">
        <v>3428.62</v>
      </c>
      <c r="H34" s="13">
        <v>11.93</v>
      </c>
      <c r="I34" s="13">
        <v>1265.01</v>
      </c>
      <c r="J34" s="14">
        <v>0.3817</v>
      </c>
      <c r="K34" s="14">
        <v>0.069</v>
      </c>
      <c r="L34" s="14">
        <v>0.0171</v>
      </c>
      <c r="M34" s="14">
        <v>0.0058</v>
      </c>
      <c r="N34" s="14">
        <v>0.0455</v>
      </c>
      <c r="O34" s="14">
        <v>0.0076</v>
      </c>
      <c r="P34" s="14">
        <v>0.0899</v>
      </c>
      <c r="Q34" s="14">
        <v>0.0224</v>
      </c>
      <c r="R34" s="14">
        <v>0.13095</v>
      </c>
      <c r="S34" s="14">
        <v>0.0471</v>
      </c>
      <c r="T34" s="16">
        <v>8.31E-4</v>
      </c>
      <c r="U34" s="16">
        <v>1.8E-4</v>
      </c>
      <c r="V34" s="16">
        <v>0.0012</v>
      </c>
      <c r="W34" s="16">
        <v>4.75E-4</v>
      </c>
      <c r="X34" s="16">
        <v>0.083424</v>
      </c>
      <c r="Y34" s="16">
        <v>0.081862</v>
      </c>
      <c r="Z34" s="16">
        <v>0.400761</v>
      </c>
      <c r="AA34" s="17">
        <v>0.0</v>
      </c>
      <c r="AB34" s="14">
        <v>0.088042</v>
      </c>
      <c r="AC34" s="14">
        <v>0.070788</v>
      </c>
      <c r="AD34" s="14">
        <v>0.3427</v>
      </c>
      <c r="AE34" s="17">
        <v>0.0</v>
      </c>
    </row>
    <row r="35">
      <c r="A35" s="10">
        <v>33.0</v>
      </c>
      <c r="B35" s="10" t="s">
        <v>56</v>
      </c>
      <c r="C35" s="11" t="s">
        <v>21</v>
      </c>
      <c r="D35" s="12">
        <v>131.0</v>
      </c>
      <c r="E35" s="12">
        <v>260.0</v>
      </c>
      <c r="F35" s="74">
        <v>46.0</v>
      </c>
      <c r="G35" s="73">
        <v>3090.39</v>
      </c>
      <c r="H35" s="73">
        <v>14.82</v>
      </c>
      <c r="I35" s="13">
        <v>923.51</v>
      </c>
      <c r="J35" s="28">
        <v>0.67</v>
      </c>
      <c r="K35" s="14">
        <v>0.51</v>
      </c>
      <c r="L35" s="28">
        <v>0.030534</v>
      </c>
      <c r="M35" s="14">
        <v>0.009212</v>
      </c>
      <c r="N35" s="14">
        <v>0.076923</v>
      </c>
      <c r="O35" s="14">
        <v>0.007692</v>
      </c>
      <c r="P35" s="14">
        <v>0.071931</v>
      </c>
      <c r="Q35" s="14">
        <v>0.0174</v>
      </c>
      <c r="R35" s="14">
        <v>0.107172</v>
      </c>
      <c r="S35" s="14">
        <v>0.038439</v>
      </c>
      <c r="T35" s="16">
        <v>0.001152</v>
      </c>
      <c r="U35" s="16">
        <v>2.65E-4</v>
      </c>
      <c r="V35" s="16">
        <v>0.001643</v>
      </c>
      <c r="W35" s="16">
        <v>5.48E-4</v>
      </c>
      <c r="X35" s="16">
        <v>0.107139</v>
      </c>
      <c r="Y35" s="16">
        <v>0.104263</v>
      </c>
      <c r="Z35" s="16">
        <v>0.86667</v>
      </c>
      <c r="AA35" s="17">
        <v>0.0</v>
      </c>
      <c r="AB35" s="14">
        <v>0.107394</v>
      </c>
      <c r="AC35" s="14">
        <v>0.103315</v>
      </c>
      <c r="AD35" s="14">
        <v>0.536673</v>
      </c>
      <c r="AE35" s="17">
        <v>0.0</v>
      </c>
    </row>
    <row r="36">
      <c r="A36" s="10">
        <v>34.0</v>
      </c>
      <c r="B36" s="10" t="s">
        <v>57</v>
      </c>
      <c r="C36" s="11" t="s">
        <v>21</v>
      </c>
      <c r="D36" s="12">
        <v>131.0</v>
      </c>
      <c r="E36" s="12">
        <v>279.0</v>
      </c>
      <c r="F36" s="12">
        <v>48.0</v>
      </c>
      <c r="G36" s="13">
        <v>4910.21</v>
      </c>
      <c r="H36" s="13">
        <v>16.129</v>
      </c>
      <c r="I36" s="13">
        <v>1512.85</v>
      </c>
      <c r="J36" s="14">
        <v>0.3695</v>
      </c>
      <c r="K36" s="14">
        <v>0.0506</v>
      </c>
      <c r="L36" s="14">
        <v>2.1832</v>
      </c>
      <c r="M36" s="14">
        <v>0.6276</v>
      </c>
      <c r="N36" s="14">
        <v>5.0</v>
      </c>
      <c r="O36" s="14">
        <v>1.0</v>
      </c>
      <c r="P36" s="14">
        <v>0.06615</v>
      </c>
      <c r="Q36" s="14">
        <v>0.016</v>
      </c>
      <c r="R36" s="14">
        <v>0.09687</v>
      </c>
      <c r="S36" s="14">
        <v>0.03351</v>
      </c>
      <c r="T36" s="16">
        <v>7.1E-4</v>
      </c>
      <c r="U36" s="16">
        <v>1.71E-4</v>
      </c>
      <c r="V36" s="16">
        <v>0.001027</v>
      </c>
      <c r="W36" s="16">
        <v>3.06E-4</v>
      </c>
      <c r="X36" s="16">
        <v>0.11728</v>
      </c>
      <c r="Y36" s="16">
        <v>0.10419</v>
      </c>
      <c r="Z36" s="16">
        <v>0.5755</v>
      </c>
      <c r="AA36" s="17">
        <v>0.0</v>
      </c>
      <c r="AB36" s="14">
        <v>0.121123</v>
      </c>
      <c r="AC36" s="14">
        <v>0.1134</v>
      </c>
      <c r="AD36" s="14">
        <v>0.575373</v>
      </c>
      <c r="AE36" s="17">
        <v>0.0</v>
      </c>
    </row>
    <row r="37">
      <c r="A37" s="10">
        <v>35.0</v>
      </c>
      <c r="B37" s="10" t="s">
        <v>58</v>
      </c>
      <c r="C37" s="11" t="s">
        <v>46</v>
      </c>
      <c r="D37" s="12"/>
      <c r="E37" s="12"/>
      <c r="F37" s="12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6"/>
      <c r="U37" s="16"/>
      <c r="V37" s="16"/>
      <c r="W37" s="16"/>
      <c r="X37" s="16"/>
      <c r="Y37" s="16"/>
      <c r="Z37" s="16"/>
      <c r="AA37" s="17"/>
      <c r="AB37" s="14"/>
      <c r="AC37" s="14"/>
      <c r="AD37" s="14"/>
      <c r="AE37" s="17"/>
    </row>
    <row r="38">
      <c r="A38" s="10">
        <v>36.0</v>
      </c>
      <c r="B38" s="10" t="s">
        <v>59</v>
      </c>
      <c r="C38" s="11" t="s">
        <v>25</v>
      </c>
      <c r="D38" s="12">
        <v>146.0</v>
      </c>
      <c r="E38" s="12">
        <v>322.0</v>
      </c>
      <c r="F38" s="12">
        <v>35.0</v>
      </c>
      <c r="G38" s="75">
        <v>8542.79</v>
      </c>
      <c r="H38" s="13">
        <v>12.7247</v>
      </c>
      <c r="I38" s="75">
        <v>2936.63</v>
      </c>
      <c r="J38" s="76">
        <v>0.7454</v>
      </c>
      <c r="K38" s="76">
        <v>0.6167</v>
      </c>
      <c r="L38" s="28">
        <v>0.0304</v>
      </c>
      <c r="M38" s="14">
        <v>0.01199</v>
      </c>
      <c r="N38" s="14">
        <v>0.11034</v>
      </c>
      <c r="O38" s="14">
        <v>0.01379</v>
      </c>
      <c r="P38" s="14">
        <v>0.08072</v>
      </c>
      <c r="Q38" s="14">
        <v>0.01942</v>
      </c>
      <c r="R38" s="14">
        <v>0.12425</v>
      </c>
      <c r="S38" s="14">
        <v>0.04555</v>
      </c>
      <c r="T38" s="77">
        <v>3.5716E-4</v>
      </c>
      <c r="U38" s="62">
        <v>8.756E-5</v>
      </c>
      <c r="V38" s="62">
        <v>5.3371E-4</v>
      </c>
      <c r="W38" s="62">
        <v>1.7701E-4</v>
      </c>
      <c r="X38" s="16">
        <v>0.08429</v>
      </c>
      <c r="Y38" s="16">
        <v>0.10283</v>
      </c>
      <c r="Z38" s="16">
        <v>0.55986</v>
      </c>
      <c r="AA38" s="17">
        <v>0.0</v>
      </c>
      <c r="AB38" s="60">
        <v>0.08688</v>
      </c>
      <c r="AC38" s="60">
        <v>0.10167</v>
      </c>
      <c r="AD38" s="60">
        <v>0.50843</v>
      </c>
      <c r="AE38" s="17">
        <v>0.0</v>
      </c>
    </row>
    <row r="39">
      <c r="A39" s="10">
        <v>37.0</v>
      </c>
      <c r="B39" s="10" t="s">
        <v>60</v>
      </c>
      <c r="C39" s="11" t="s">
        <v>25</v>
      </c>
      <c r="D39" s="12">
        <v>314.0</v>
      </c>
      <c r="E39" s="78">
        <v>758.0</v>
      </c>
      <c r="F39" s="78">
        <v>50.0</v>
      </c>
      <c r="G39" s="79">
        <v>28868.4</v>
      </c>
      <c r="H39" s="79">
        <v>12.68</v>
      </c>
      <c r="I39" s="80">
        <v>5554.27</v>
      </c>
      <c r="J39" s="81">
        <v>0.8098</v>
      </c>
      <c r="K39" s="81">
        <v>0.7143</v>
      </c>
      <c r="L39" s="82">
        <v>0.0154</v>
      </c>
      <c r="M39" s="81">
        <v>0.0078</v>
      </c>
      <c r="N39" s="81">
        <v>0.0735</v>
      </c>
      <c r="O39" s="81">
        <v>0.00319</v>
      </c>
      <c r="P39" s="81">
        <v>0.0859</v>
      </c>
      <c r="Q39" s="81">
        <v>0.0224</v>
      </c>
      <c r="R39" s="83">
        <v>0.1368</v>
      </c>
      <c r="S39" s="81">
        <v>0.0296</v>
      </c>
      <c r="T39" s="84">
        <v>2.078E-4</v>
      </c>
      <c r="U39" s="84">
        <f>6.6053*10^-5</f>
        <v>0.000066053</v>
      </c>
      <c r="V39" s="84">
        <v>3.228E-4</v>
      </c>
      <c r="W39" s="85">
        <f>5.71024*10^-5</f>
        <v>0.0000571024</v>
      </c>
      <c r="X39" s="85">
        <f>0.03728</f>
        <v>0.03728</v>
      </c>
      <c r="Y39" s="16">
        <v>0.06652</v>
      </c>
      <c r="Z39" s="16">
        <v>0.5427</v>
      </c>
      <c r="AA39" s="17">
        <v>0.0</v>
      </c>
      <c r="AB39" s="14">
        <v>0.0454</v>
      </c>
      <c r="AC39" s="14">
        <v>0.07057</v>
      </c>
      <c r="AD39" s="14">
        <v>0.5707</v>
      </c>
      <c r="AE39" s="17">
        <v>0.0</v>
      </c>
    </row>
    <row r="40">
      <c r="A40" s="10">
        <v>38.0</v>
      </c>
      <c r="B40" s="10" t="s">
        <v>42</v>
      </c>
      <c r="C40" s="11" t="s">
        <v>25</v>
      </c>
      <c r="D40" s="17">
        <v>249.0</v>
      </c>
      <c r="E40" s="17">
        <v>571.0</v>
      </c>
      <c r="F40" s="17">
        <v>44.0</v>
      </c>
      <c r="G40" s="13">
        <v>127743.0</v>
      </c>
      <c r="H40" s="13">
        <v>14.15</v>
      </c>
      <c r="I40" s="13">
        <v>42174.98</v>
      </c>
      <c r="J40" s="14">
        <v>0.7706</v>
      </c>
      <c r="K40" s="14">
        <v>0.6552</v>
      </c>
      <c r="L40" s="14">
        <v>0.018493</v>
      </c>
      <c r="M40" s="14">
        <v>0.008187</v>
      </c>
      <c r="N40" s="14">
        <v>0.068548</v>
      </c>
      <c r="O40" s="14">
        <v>0.008065</v>
      </c>
      <c r="P40" s="81">
        <v>0.075435</v>
      </c>
      <c r="Q40" s="14">
        <v>0.018229</v>
      </c>
      <c r="R40" s="14">
        <v>0.118039</v>
      </c>
      <c r="S40" s="14">
        <v>0.032149</v>
      </c>
      <c r="T40" s="16">
        <v>2.5E-5</v>
      </c>
      <c r="U40" s="16">
        <v>6.0E-6</v>
      </c>
      <c r="V40" s="16">
        <v>3.5E-5</v>
      </c>
      <c r="W40" s="16">
        <v>1.3E-5</v>
      </c>
      <c r="X40" s="16">
        <v>0.053245</v>
      </c>
      <c r="Y40" s="16">
        <v>0.079391</v>
      </c>
      <c r="Z40" s="16">
        <v>0.56697</v>
      </c>
      <c r="AA40" s="17">
        <v>0.0</v>
      </c>
      <c r="AB40" s="14">
        <v>0.058456</v>
      </c>
      <c r="AC40" s="14">
        <v>0.073942</v>
      </c>
      <c r="AD40" s="14">
        <v>0.434684</v>
      </c>
      <c r="AE40" s="17">
        <v>0.0</v>
      </c>
    </row>
    <row r="41">
      <c r="A41" s="10">
        <v>39.0</v>
      </c>
      <c r="B41" s="10" t="s">
        <v>53</v>
      </c>
      <c r="C41" s="11" t="s">
        <v>25</v>
      </c>
      <c r="D41" s="12">
        <v>274.0</v>
      </c>
      <c r="E41" s="12">
        <v>660.0</v>
      </c>
      <c r="F41" s="12">
        <v>31.0</v>
      </c>
      <c r="G41" s="13">
        <v>8234.81</v>
      </c>
      <c r="H41" s="13">
        <v>9.84</v>
      </c>
      <c r="I41" s="13">
        <v>2663.12</v>
      </c>
      <c r="J41" s="14">
        <v>0.8088</v>
      </c>
      <c r="K41" s="14">
        <v>0.713</v>
      </c>
      <c r="L41" s="14">
        <v>0.0176</v>
      </c>
      <c r="M41" s="14">
        <v>0.0088</v>
      </c>
      <c r="N41" s="14">
        <v>0.0769</v>
      </c>
      <c r="O41" s="14">
        <v>0.0073</v>
      </c>
      <c r="P41" s="14">
        <v>0.1087</v>
      </c>
      <c r="Q41" s="14">
        <v>0.0266</v>
      </c>
      <c r="R41" s="14">
        <v>0.1822</v>
      </c>
      <c r="S41" s="14">
        <v>0.0456</v>
      </c>
      <c r="T41" s="16">
        <v>3.98E-4</v>
      </c>
      <c r="U41" s="16">
        <v>9.3E-5</v>
      </c>
      <c r="V41" s="16">
        <v>6.19E-4</v>
      </c>
      <c r="W41" s="16">
        <v>1.82E-4</v>
      </c>
      <c r="X41" s="16">
        <v>0.0325</v>
      </c>
      <c r="Y41" s="16">
        <v>0.0652</v>
      </c>
      <c r="Z41" s="16">
        <v>0.6332</v>
      </c>
      <c r="AA41" s="17">
        <v>0.0</v>
      </c>
      <c r="AB41" s="14">
        <v>0.0368</v>
      </c>
      <c r="AC41" s="14">
        <v>0.0548</v>
      </c>
      <c r="AD41" s="14">
        <v>0.4566</v>
      </c>
      <c r="AE41" s="17">
        <v>0.0</v>
      </c>
    </row>
    <row r="42">
      <c r="A42" s="10">
        <v>40.0</v>
      </c>
      <c r="B42" s="10" t="s">
        <v>20</v>
      </c>
      <c r="C42" s="11" t="s">
        <v>46</v>
      </c>
      <c r="D42" s="86">
        <v>309.0</v>
      </c>
      <c r="E42" s="86">
        <v>678.0</v>
      </c>
      <c r="F42" s="86">
        <v>50.0</v>
      </c>
      <c r="G42" s="87">
        <v>4335.0</v>
      </c>
      <c r="H42" s="87">
        <v>18.0</v>
      </c>
      <c r="I42" s="87">
        <v>1662.0</v>
      </c>
      <c r="J42" s="47">
        <v>0.74</v>
      </c>
      <c r="K42" s="47">
        <v>0.6</v>
      </c>
      <c r="L42" s="47">
        <v>0.014</v>
      </c>
      <c r="M42" s="47">
        <v>0.0052</v>
      </c>
      <c r="N42" s="47">
        <v>0.039</v>
      </c>
      <c r="O42" s="47">
        <v>0.0065</v>
      </c>
      <c r="P42" s="47">
        <v>0.0589</v>
      </c>
      <c r="Q42" s="47">
        <v>0.012</v>
      </c>
      <c r="R42" s="47">
        <v>0.0829</v>
      </c>
      <c r="S42" s="47">
        <v>0.032</v>
      </c>
      <c r="T42" s="88">
        <v>6.2E-4</v>
      </c>
      <c r="U42" s="88">
        <v>1.1E-4</v>
      </c>
      <c r="V42" s="88">
        <v>8.28E-4</v>
      </c>
      <c r="W42" s="88">
        <v>3.52E-4</v>
      </c>
      <c r="X42" s="88">
        <v>0.055</v>
      </c>
      <c r="Y42" s="88">
        <v>0.0662</v>
      </c>
      <c r="Z42" s="88">
        <v>0.44</v>
      </c>
      <c r="AA42" s="89">
        <v>0.0</v>
      </c>
      <c r="AB42" s="47">
        <v>0.057</v>
      </c>
      <c r="AC42" s="47">
        <v>0.0621</v>
      </c>
      <c r="AD42" s="47">
        <v>0.354</v>
      </c>
      <c r="AE42" s="89">
        <v>0.0</v>
      </c>
    </row>
    <row r="43">
      <c r="A43" s="10">
        <v>41.0</v>
      </c>
      <c r="B43" s="10" t="s">
        <v>22</v>
      </c>
      <c r="C43" s="11" t="s">
        <v>21</v>
      </c>
      <c r="D43" s="86">
        <v>395.0</v>
      </c>
      <c r="E43" s="86">
        <v>816.0</v>
      </c>
      <c r="F43" s="86">
        <v>100.0</v>
      </c>
      <c r="G43" s="87">
        <v>14800.0</v>
      </c>
      <c r="H43" s="87">
        <v>36.17</v>
      </c>
      <c r="I43" s="87">
        <v>2592.94</v>
      </c>
      <c r="J43" s="47">
        <v>0.6992</v>
      </c>
      <c r="K43" s="47">
        <v>0.5376</v>
      </c>
      <c r="L43" s="47">
        <v>0.0105</v>
      </c>
      <c r="M43" s="47">
        <v>0.0033</v>
      </c>
      <c r="N43" s="47">
        <v>0.0254</v>
      </c>
      <c r="O43" s="47">
        <v>0.0025</v>
      </c>
      <c r="P43" s="47">
        <v>0.0308</v>
      </c>
      <c r="Q43" s="47">
        <v>0.0082</v>
      </c>
      <c r="R43" s="47">
        <v>0.0433</v>
      </c>
      <c r="S43" s="47">
        <v>0.0</v>
      </c>
      <c r="T43" s="88">
        <v>0.03079</v>
      </c>
      <c r="U43" s="88">
        <v>0.00821</v>
      </c>
      <c r="V43" s="88">
        <v>0.04334</v>
      </c>
      <c r="W43" s="88">
        <v>0.0</v>
      </c>
      <c r="X43" s="88">
        <v>0.07506</v>
      </c>
      <c r="Y43" s="88">
        <v>0.09874</v>
      </c>
      <c r="Z43" s="88">
        <v>0.42311</v>
      </c>
      <c r="AA43" s="89">
        <v>0.0</v>
      </c>
      <c r="AB43" s="47">
        <v>0.0751</v>
      </c>
      <c r="AC43" s="47">
        <v>0.0987</v>
      </c>
      <c r="AD43" s="47">
        <v>0.4231</v>
      </c>
      <c r="AE43" s="89">
        <v>0.0</v>
      </c>
    </row>
    <row r="44">
      <c r="A44" s="10">
        <v>42.0</v>
      </c>
      <c r="B44" s="10" t="s">
        <v>31</v>
      </c>
      <c r="C44" s="10" t="s">
        <v>46</v>
      </c>
      <c r="D44" s="86">
        <v>620.0</v>
      </c>
      <c r="E44" s="86">
        <v>818.0</v>
      </c>
      <c r="F44" s="86">
        <v>40.0</v>
      </c>
      <c r="G44" s="87">
        <v>4504.88</v>
      </c>
      <c r="H44" s="87">
        <v>14.0347</v>
      </c>
      <c r="I44" s="87">
        <v>1595.3</v>
      </c>
      <c r="J44" s="47">
        <v>0.4412</v>
      </c>
      <c r="K44" s="47">
        <v>0.1611</v>
      </c>
      <c r="L44" s="47">
        <v>0.00426</v>
      </c>
      <c r="M44" s="47">
        <v>0.00176</v>
      </c>
      <c r="N44" s="47">
        <v>0.01292</v>
      </c>
      <c r="O44" s="47">
        <v>0.00162</v>
      </c>
      <c r="P44" s="47">
        <v>0.07505</v>
      </c>
      <c r="Q44" s="47">
        <v>0.01623</v>
      </c>
      <c r="R44" s="47">
        <v>0.11646</v>
      </c>
      <c r="S44" s="47">
        <v>0.04039</v>
      </c>
      <c r="T44" s="88">
        <v>6.52E-4</v>
      </c>
      <c r="U44" s="88">
        <v>1.24E-4</v>
      </c>
      <c r="V44" s="88">
        <v>9.36E-4</v>
      </c>
      <c r="W44" s="88">
        <v>3.34E-4</v>
      </c>
      <c r="X44" s="88">
        <v>0.02109</v>
      </c>
      <c r="Y44" s="88">
        <v>0.03177</v>
      </c>
      <c r="Z44" s="88">
        <v>0.29734</v>
      </c>
      <c r="AA44" s="89">
        <v>0.0</v>
      </c>
      <c r="AB44" s="47">
        <v>0.02441</v>
      </c>
      <c r="AC44" s="47">
        <v>0.03156</v>
      </c>
      <c r="AD44" s="47">
        <v>0.26668</v>
      </c>
      <c r="AE44" s="89">
        <v>0.0</v>
      </c>
    </row>
    <row r="45">
      <c r="A45" s="10">
        <v>43.0</v>
      </c>
      <c r="B45" s="10" t="s">
        <v>55</v>
      </c>
      <c r="C45" s="11" t="s">
        <v>25</v>
      </c>
      <c r="D45" s="86">
        <v>121.0</v>
      </c>
      <c r="E45" s="86">
        <v>164.0</v>
      </c>
      <c r="F45" s="86">
        <v>21.0</v>
      </c>
      <c r="G45" s="90">
        <v>1547.5</v>
      </c>
      <c r="H45" s="90">
        <v>7.329</v>
      </c>
      <c r="I45" s="87">
        <v>1018.87</v>
      </c>
      <c r="J45" s="47">
        <v>0.4593</v>
      </c>
      <c r="K45" s="47">
        <v>0.1856</v>
      </c>
      <c r="L45" s="47">
        <v>0.0226</v>
      </c>
      <c r="M45" s="47">
        <v>0.01214</v>
      </c>
      <c r="N45" s="47">
        <v>0.0917</v>
      </c>
      <c r="O45" s="47">
        <v>0.0083</v>
      </c>
      <c r="P45" s="47">
        <v>0.14541</v>
      </c>
      <c r="Q45" s="47">
        <v>0.03503</v>
      </c>
      <c r="R45" s="47">
        <v>0.23346</v>
      </c>
      <c r="S45" s="47">
        <v>0.072595</v>
      </c>
      <c r="T45" s="88">
        <v>0.01206</v>
      </c>
      <c r="U45" s="88">
        <v>0.0032675</v>
      </c>
      <c r="V45" s="88">
        <v>0.013534</v>
      </c>
      <c r="W45" s="88">
        <v>0.001088</v>
      </c>
      <c r="X45" s="88">
        <v>0.05318</v>
      </c>
      <c r="Y45" s="88">
        <v>0.089738</v>
      </c>
      <c r="Z45" s="88">
        <v>0.60889</v>
      </c>
      <c r="AA45" s="89">
        <v>0.0</v>
      </c>
      <c r="AB45" s="47">
        <v>0.05318</v>
      </c>
      <c r="AC45" s="47">
        <v>0.089738</v>
      </c>
      <c r="AD45" s="47">
        <v>0.60889</v>
      </c>
      <c r="AE45" s="89">
        <v>0.0</v>
      </c>
    </row>
    <row r="46">
      <c r="A46" s="10">
        <v>44.0</v>
      </c>
      <c r="B46" s="10" t="s">
        <v>34</v>
      </c>
      <c r="C46" s="11" t="s">
        <v>25</v>
      </c>
      <c r="D46" s="86">
        <v>141.0</v>
      </c>
      <c r="E46" s="86">
        <v>153.0</v>
      </c>
      <c r="F46" s="86">
        <v>19.0</v>
      </c>
      <c r="G46" s="87">
        <v>8541.9</v>
      </c>
      <c r="H46" s="87">
        <v>6.87</v>
      </c>
      <c r="I46" s="87">
        <v>2224.68</v>
      </c>
      <c r="J46" s="47">
        <v>0.79</v>
      </c>
      <c r="K46" s="35"/>
      <c r="L46" s="47">
        <v>0.076</v>
      </c>
      <c r="M46" s="47">
        <v>0.028</v>
      </c>
      <c r="N46" s="47">
        <v>0.17</v>
      </c>
      <c r="O46" s="47">
        <v>0.033</v>
      </c>
      <c r="P46" s="47">
        <v>0.15</v>
      </c>
      <c r="Q46" s="47">
        <v>0.037</v>
      </c>
      <c r="R46" s="47">
        <v>0.24</v>
      </c>
      <c r="S46" s="47">
        <v>0.077</v>
      </c>
      <c r="T46" s="88">
        <v>5.1E-4</v>
      </c>
      <c r="U46" s="88">
        <v>1.4E-4</v>
      </c>
      <c r="V46" s="88">
        <v>6.8E-4</v>
      </c>
      <c r="W46" s="88">
        <v>1.7E-4</v>
      </c>
      <c r="X46" s="88">
        <v>0.1</v>
      </c>
      <c r="Y46" s="88">
        <v>0.14</v>
      </c>
      <c r="Z46" s="88">
        <v>0.59</v>
      </c>
      <c r="AA46" s="89">
        <v>0.0</v>
      </c>
      <c r="AB46" s="47">
        <v>0.11</v>
      </c>
      <c r="AC46" s="47">
        <v>0.12</v>
      </c>
      <c r="AD46" s="47">
        <v>0.52</v>
      </c>
      <c r="AE46" s="89">
        <v>0.0</v>
      </c>
    </row>
    <row r="47">
      <c r="A47" s="10">
        <v>45.0</v>
      </c>
      <c r="B47" s="10" t="s">
        <v>36</v>
      </c>
      <c r="C47" s="11" t="s">
        <v>21</v>
      </c>
      <c r="D47" s="86">
        <v>84.0</v>
      </c>
      <c r="E47" s="86">
        <v>89.0</v>
      </c>
      <c r="F47" s="86">
        <v>15.0</v>
      </c>
      <c r="G47" s="87">
        <v>1919.9544</v>
      </c>
      <c r="H47" s="87">
        <v>6.704</v>
      </c>
      <c r="I47" s="87">
        <v>714.7</v>
      </c>
      <c r="J47" s="47">
        <v>0.362</v>
      </c>
      <c r="K47" s="47">
        <v>0.0368</v>
      </c>
      <c r="L47" s="47">
        <v>0.0255</v>
      </c>
      <c r="M47" s="47">
        <v>0.0078</v>
      </c>
      <c r="N47" s="47">
        <v>0.06</v>
      </c>
      <c r="O47" s="47">
        <v>0.012</v>
      </c>
      <c r="P47" s="47">
        <v>0.06816</v>
      </c>
      <c r="Q47" s="47">
        <v>0.0213</v>
      </c>
      <c r="R47" s="47">
        <v>0.122</v>
      </c>
      <c r="S47" s="47">
        <v>0.03</v>
      </c>
      <c r="T47" s="88">
        <v>6.52E-4</v>
      </c>
      <c r="U47" s="88">
        <v>2.16E-4</v>
      </c>
      <c r="V47" s="88">
        <v>0.001144</v>
      </c>
      <c r="W47" s="88">
        <v>3.16E-4</v>
      </c>
      <c r="X47" s="88">
        <v>0.041</v>
      </c>
      <c r="Y47" s="88">
        <v>0.0344</v>
      </c>
      <c r="Z47" s="88">
        <v>0.177</v>
      </c>
      <c r="AA47" s="89">
        <v>0.0</v>
      </c>
      <c r="AB47" s="47">
        <v>0.0467</v>
      </c>
      <c r="AC47" s="47">
        <v>0.037</v>
      </c>
      <c r="AD47" s="47">
        <v>0.1566</v>
      </c>
      <c r="AE47" s="89">
        <v>0.0</v>
      </c>
    </row>
    <row r="48">
      <c r="A48" s="10">
        <v>46.0</v>
      </c>
      <c r="B48" s="10" t="s">
        <v>41</v>
      </c>
      <c r="C48" s="11" t="s">
        <v>23</v>
      </c>
      <c r="D48" s="91">
        <v>101.0</v>
      </c>
      <c r="E48" s="91">
        <v>103.0</v>
      </c>
      <c r="F48" s="91">
        <v>37.0</v>
      </c>
      <c r="G48" s="92">
        <v>3778.917965</v>
      </c>
      <c r="H48" s="92">
        <v>14.31584158</v>
      </c>
      <c r="I48" s="92">
        <v>1469.942956</v>
      </c>
      <c r="J48" s="93">
        <v>0.346801347</v>
      </c>
      <c r="K48" s="93">
        <v>0.01522843</v>
      </c>
      <c r="L48" s="93">
        <v>0.02039604</v>
      </c>
      <c r="M48" s="93">
        <v>0.004650304</v>
      </c>
      <c r="N48" s="93">
        <v>0.04</v>
      </c>
      <c r="O48" s="93">
        <v>0.01</v>
      </c>
      <c r="P48" s="93">
        <v>0.074251739</v>
      </c>
      <c r="Q48" s="93">
        <v>0.018191793</v>
      </c>
      <c r="R48" s="93">
        <v>0.1083424</v>
      </c>
      <c r="S48" s="93">
        <v>0.043122035</v>
      </c>
      <c r="T48" s="94">
        <v>7.18951E-4</v>
      </c>
      <c r="U48" s="94">
        <v>1.65764E-4</v>
      </c>
      <c r="V48" s="94">
        <v>0.001048489</v>
      </c>
      <c r="W48" s="94">
        <v>4.02852E-4</v>
      </c>
      <c r="X48" s="94">
        <v>0.13450345</v>
      </c>
      <c r="Y48" s="94">
        <v>0.114584407</v>
      </c>
      <c r="Z48" s="94">
        <v>0.58424242</v>
      </c>
      <c r="AA48" s="95">
        <v>0.0</v>
      </c>
      <c r="AB48" s="93">
        <v>0.134571457</v>
      </c>
      <c r="AC48" s="93">
        <v>0.111673224</v>
      </c>
      <c r="AD48" s="93">
        <v>0.59111111</v>
      </c>
      <c r="AE48" s="95">
        <v>0.0</v>
      </c>
    </row>
    <row r="49">
      <c r="A49" s="96">
        <v>47.0</v>
      </c>
      <c r="B49" s="96" t="s">
        <v>61</v>
      </c>
      <c r="C49" s="96" t="s">
        <v>21</v>
      </c>
      <c r="D49" s="97">
        <v>233.0</v>
      </c>
      <c r="E49" s="97">
        <v>449.0</v>
      </c>
      <c r="F49" s="97">
        <v>52.0</v>
      </c>
      <c r="G49" s="98">
        <v>5543.81</v>
      </c>
      <c r="H49" s="98">
        <v>18.97</v>
      </c>
      <c r="I49" s="98">
        <v>1965.05</v>
      </c>
      <c r="J49" s="99">
        <v>0.648</v>
      </c>
      <c r="K49" s="99">
        <v>0.471</v>
      </c>
      <c r="L49" s="99">
        <v>0.0166</v>
      </c>
      <c r="M49" s="99">
        <v>0.003</v>
      </c>
      <c r="N49" s="99">
        <v>0.0259</v>
      </c>
      <c r="O49" s="99">
        <v>0.0086</v>
      </c>
      <c r="P49" s="100">
        <v>0.0149830839513517</v>
      </c>
      <c r="Q49" s="100">
        <v>0.00406259621371069</v>
      </c>
      <c r="R49" s="100">
        <v>0.0057471264367816</v>
      </c>
      <c r="S49" s="100">
        <v>0.0234674329501915</v>
      </c>
      <c r="T49" s="101">
        <v>1.31561382583674E-4</v>
      </c>
      <c r="U49" s="102">
        <v>3.9396643019048E-5</v>
      </c>
      <c r="V49" s="102">
        <v>2.19021586767591E-5</v>
      </c>
      <c r="W49" s="102">
        <v>2.07117724936044E-4</v>
      </c>
      <c r="X49" s="103">
        <v>0.01034</v>
      </c>
      <c r="Y49" s="101">
        <v>0.01183</v>
      </c>
      <c r="Z49" s="101">
        <v>0.05195</v>
      </c>
      <c r="AA49" s="104">
        <v>0.0</v>
      </c>
      <c r="AB49" s="100">
        <v>0.272275</v>
      </c>
      <c r="AC49" s="100">
        <v>0.15712</v>
      </c>
      <c r="AD49" s="100">
        <v>0.629579</v>
      </c>
      <c r="AE49" s="104">
        <v>0.0</v>
      </c>
    </row>
    <row r="50">
      <c r="A50" s="10">
        <v>48.0</v>
      </c>
      <c r="B50" s="10" t="s">
        <v>44</v>
      </c>
      <c r="C50" s="11" t="s">
        <v>23</v>
      </c>
      <c r="D50" s="86">
        <v>57.0</v>
      </c>
      <c r="E50" s="86">
        <v>57.0</v>
      </c>
      <c r="F50" s="86">
        <v>23.0</v>
      </c>
      <c r="G50" s="87">
        <v>1934.4</v>
      </c>
      <c r="H50" s="87">
        <v>9.4204</v>
      </c>
      <c r="I50" s="87">
        <v>798.09</v>
      </c>
      <c r="J50" s="47">
        <v>0.3455</v>
      </c>
      <c r="K50" s="47">
        <v>0.0092</v>
      </c>
      <c r="L50" s="47">
        <v>0.035714</v>
      </c>
      <c r="M50" s="47">
        <v>0.01024</v>
      </c>
      <c r="N50" s="47">
        <v>0.071429</v>
      </c>
      <c r="O50" s="47">
        <v>0.017857</v>
      </c>
      <c r="P50" s="105">
        <v>0.113751</v>
      </c>
      <c r="Q50" s="47">
        <v>3.94E-4</v>
      </c>
      <c r="R50" s="47">
        <v>0.176656</v>
      </c>
      <c r="S50" s="47">
        <v>0.066272</v>
      </c>
      <c r="T50" s="88">
        <v>0.001359</v>
      </c>
      <c r="U50" s="88">
        <v>3.94E-4</v>
      </c>
      <c r="V50" s="88">
        <v>0.002125</v>
      </c>
      <c r="W50" s="88">
        <v>7.81E-4</v>
      </c>
      <c r="X50" s="88">
        <v>0.153099</v>
      </c>
      <c r="Y50" s="88">
        <v>0.117024</v>
      </c>
      <c r="Z50" s="88">
        <v>0.540909</v>
      </c>
      <c r="AA50" s="89">
        <v>0.0</v>
      </c>
      <c r="AB50" s="47">
        <v>0.153099</v>
      </c>
      <c r="AC50" s="47">
        <v>0.117024</v>
      </c>
      <c r="AD50" s="47">
        <v>0.540909</v>
      </c>
      <c r="AE50" s="89">
        <v>0.0</v>
      </c>
    </row>
    <row r="51">
      <c r="A51" s="10">
        <v>49.0</v>
      </c>
      <c r="B51" s="10" t="s">
        <v>50</v>
      </c>
      <c r="C51" s="11" t="s">
        <v>23</v>
      </c>
      <c r="D51" s="86">
        <v>76.0</v>
      </c>
      <c r="E51" s="86">
        <v>150.0</v>
      </c>
      <c r="F51" s="86">
        <v>35.0</v>
      </c>
      <c r="G51" s="87">
        <v>4398.7955</v>
      </c>
      <c r="H51" s="87">
        <v>13.402807</v>
      </c>
      <c r="I51" s="87">
        <v>1448.0505</v>
      </c>
      <c r="J51" s="47">
        <v>0.346846</v>
      </c>
      <c r="K51" s="47">
        <v>0.01360544</v>
      </c>
      <c r="L51" s="35"/>
      <c r="M51" s="35"/>
      <c r="N51" s="35"/>
      <c r="O51" s="35"/>
      <c r="P51" s="35"/>
      <c r="Q51" s="35"/>
      <c r="R51" s="35"/>
      <c r="S51" s="35"/>
      <c r="T51" s="71"/>
      <c r="U51" s="71"/>
      <c r="V51" s="71"/>
      <c r="W51" s="71"/>
      <c r="X51" s="71"/>
      <c r="Y51" s="71"/>
      <c r="Z51" s="71"/>
      <c r="AA51" s="72"/>
      <c r="AB51" s="35"/>
      <c r="AC51" s="35"/>
      <c r="AD51" s="35"/>
      <c r="AE51" s="72"/>
    </row>
    <row r="52">
      <c r="A52" s="10">
        <v>50.0</v>
      </c>
      <c r="B52" s="10" t="s">
        <v>62</v>
      </c>
      <c r="C52" s="11" t="s">
        <v>23</v>
      </c>
      <c r="D52" s="86">
        <v>98.0</v>
      </c>
      <c r="E52" s="86">
        <v>209.0</v>
      </c>
      <c r="F52" s="86">
        <v>27.0</v>
      </c>
      <c r="G52" s="87">
        <v>2679.875</v>
      </c>
      <c r="H52" s="87">
        <v>10.574</v>
      </c>
      <c r="I52" s="87">
        <v>954.336</v>
      </c>
      <c r="J52" s="47">
        <v>0.726</v>
      </c>
      <c r="K52" s="47">
        <v>0.586</v>
      </c>
      <c r="L52" s="47">
        <v>0.044</v>
      </c>
      <c r="M52" s="47">
        <v>0.0151</v>
      </c>
      <c r="N52" s="47">
        <v>0.1031</v>
      </c>
      <c r="O52" s="47">
        <v>0.0206</v>
      </c>
      <c r="P52" s="47">
        <v>0.1005</v>
      </c>
      <c r="Q52" s="47">
        <v>0.0251</v>
      </c>
      <c r="R52" s="47">
        <v>0.1506</v>
      </c>
      <c r="S52" s="47">
        <v>0.0566</v>
      </c>
      <c r="T52" s="88">
        <v>0.0011</v>
      </c>
      <c r="U52" s="88">
        <v>3.0E-4</v>
      </c>
      <c r="V52" s="88">
        <v>0.0017</v>
      </c>
      <c r="W52" s="88">
        <v>6.0E-4</v>
      </c>
      <c r="X52" s="88">
        <v>0.1002</v>
      </c>
      <c r="Y52" s="88">
        <v>0.0843</v>
      </c>
      <c r="Z52" s="88">
        <v>0.3884</v>
      </c>
      <c r="AA52" s="89">
        <v>0.0</v>
      </c>
      <c r="AB52" s="47">
        <v>0.1004</v>
      </c>
      <c r="AC52" s="47">
        <v>0.0845</v>
      </c>
      <c r="AD52" s="47">
        <v>0.3954</v>
      </c>
      <c r="AE52" s="89">
        <v>0.0</v>
      </c>
    </row>
    <row r="53">
      <c r="A53" s="10"/>
      <c r="B53" s="10"/>
      <c r="C53" s="11"/>
      <c r="D53" s="8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</row>
    <row r="54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</row>
    <row r="55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</row>
    <row r="56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</row>
    <row r="57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</row>
    <row r="58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</row>
    <row r="59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</row>
    <row r="60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</row>
    <row r="61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</row>
    <row r="62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</row>
    <row r="6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</row>
    <row r="64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</row>
    <row r="65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</row>
    <row r="66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</row>
    <row r="67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</row>
    <row r="68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</row>
    <row r="69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</row>
    <row r="70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</row>
    <row r="71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</row>
    <row r="72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</row>
    <row r="7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</row>
    <row r="74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</row>
    <row r="75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</row>
    <row r="76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</row>
    <row r="77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</row>
    <row r="78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</row>
    <row r="79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</row>
    <row r="80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</row>
    <row r="8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</row>
    <row r="82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</row>
    <row r="8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</row>
    <row r="84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</row>
    <row r="85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</row>
    <row r="86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</row>
    <row r="87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</row>
    <row r="88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</row>
    <row r="89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</row>
    <row r="90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</row>
    <row r="9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</row>
    <row r="92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</row>
    <row r="9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</row>
    <row r="94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</row>
    <row r="95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</row>
    <row r="96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</row>
    <row r="97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</row>
    <row r="98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</row>
    <row r="99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</row>
    <row r="100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</row>
    <row r="10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</row>
    <row r="102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</row>
    <row r="10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</row>
    <row r="104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</row>
    <row r="105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</row>
    <row r="106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</row>
    <row r="107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</row>
    <row r="108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</row>
    <row r="109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</row>
    <row r="110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</row>
    <row r="11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</row>
    <row r="112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</row>
    <row r="11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</row>
    <row r="114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</row>
    <row r="115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</row>
    <row r="116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</row>
    <row r="117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</row>
    <row r="118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</row>
    <row r="119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</row>
    <row r="120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</row>
    <row r="12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</row>
    <row r="122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</row>
    <row r="12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</row>
    <row r="124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</row>
    <row r="125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</row>
    <row r="126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</row>
    <row r="127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</row>
    <row r="128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</row>
    <row r="129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</row>
    <row r="130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</row>
    <row r="13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</row>
    <row r="132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</row>
    <row r="13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</row>
    <row r="134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</row>
    <row r="135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</row>
    <row r="136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</row>
    <row r="137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</row>
    <row r="138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</row>
    <row r="139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</row>
    <row r="140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</row>
    <row r="14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</row>
    <row r="142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</row>
    <row r="14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</row>
    <row r="144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</row>
    <row r="145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</row>
    <row r="146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</row>
    <row r="147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</row>
    <row r="148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</row>
    <row r="149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</row>
    <row r="150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</row>
    <row r="15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</row>
    <row r="152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</row>
    <row r="15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</row>
    <row r="154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</row>
    <row r="155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</row>
    <row r="156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</row>
    <row r="157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</row>
    <row r="158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</row>
    <row r="159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</row>
    <row r="160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</row>
    <row r="16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</row>
    <row r="162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</row>
    <row r="16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</row>
    <row r="164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</row>
    <row r="165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</row>
    <row r="166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</row>
    <row r="167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</row>
    <row r="168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</row>
    <row r="169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</row>
    <row r="170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</row>
    <row r="17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</row>
    <row r="172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</row>
    <row r="17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</row>
    <row r="174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</row>
    <row r="175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</row>
    <row r="176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</row>
    <row r="177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</row>
    <row r="178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</row>
    <row r="179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</row>
    <row r="180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</row>
    <row r="18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</row>
    <row r="182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</row>
    <row r="18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</row>
    <row r="184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</row>
    <row r="185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</row>
    <row r="186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</row>
    <row r="187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</row>
    <row r="188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</row>
    <row r="189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</row>
    <row r="190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</row>
    <row r="19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</row>
    <row r="192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</row>
    <row r="19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</row>
    <row r="194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</row>
    <row r="195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</row>
    <row r="196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</row>
    <row r="197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</row>
    <row r="198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</row>
    <row r="199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</row>
    <row r="200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</row>
    <row r="20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</row>
    <row r="202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</row>
    <row r="20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</row>
    <row r="204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</row>
    <row r="205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</row>
    <row r="206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</row>
    <row r="207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</row>
    <row r="208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</row>
    <row r="209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</row>
    <row r="210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</row>
    <row r="21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</row>
    <row r="212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</row>
    <row r="21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</row>
    <row r="214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</row>
    <row r="215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</row>
    <row r="216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</row>
    <row r="217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</row>
    <row r="218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</row>
    <row r="219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</row>
    <row r="220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</row>
    <row r="221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</row>
    <row r="222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</row>
    <row r="22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</row>
    <row r="224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</row>
    <row r="225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</row>
    <row r="226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</row>
    <row r="227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</row>
    <row r="228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</row>
    <row r="229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</row>
    <row r="230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</row>
    <row r="231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</row>
    <row r="232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</row>
    <row r="23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</row>
    <row r="234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</row>
    <row r="235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</row>
    <row r="236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</row>
    <row r="237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</row>
    <row r="238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</row>
    <row r="239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</row>
    <row r="240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</row>
    <row r="241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</row>
    <row r="242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</row>
    <row r="24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</row>
    <row r="244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</row>
    <row r="245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</row>
    <row r="246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</row>
    <row r="247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</row>
    <row r="248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</row>
    <row r="249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</row>
    <row r="250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</row>
    <row r="251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</row>
    <row r="252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</row>
    <row r="25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</row>
    <row r="254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</row>
    <row r="255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</row>
    <row r="256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</row>
    <row r="257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</row>
    <row r="258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</row>
    <row r="259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</row>
    <row r="260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</row>
    <row r="261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</row>
    <row r="262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</row>
    <row r="26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</row>
    <row r="264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</row>
    <row r="265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</row>
    <row r="266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</row>
    <row r="267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</row>
    <row r="268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</row>
    <row r="269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</row>
    <row r="270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</row>
    <row r="271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</row>
    <row r="272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</row>
    <row r="27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</row>
    <row r="274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</row>
    <row r="275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</row>
    <row r="276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</row>
    <row r="277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</row>
    <row r="278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</row>
    <row r="279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</row>
    <row r="280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</row>
    <row r="281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</row>
    <row r="282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</row>
    <row r="28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</row>
    <row r="284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</row>
    <row r="285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</row>
    <row r="286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</row>
    <row r="287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</row>
    <row r="288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</row>
    <row r="289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</row>
    <row r="290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</row>
    <row r="291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</row>
    <row r="292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</row>
    <row r="29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</row>
    <row r="294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</row>
    <row r="295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</row>
    <row r="296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</row>
    <row r="297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</row>
    <row r="298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</row>
    <row r="299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</row>
    <row r="300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</row>
    <row r="301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</row>
    <row r="302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</row>
    <row r="30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</row>
    <row r="304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</row>
    <row r="305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</row>
    <row r="306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</row>
    <row r="307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</row>
    <row r="308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</row>
    <row r="309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</row>
    <row r="310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</row>
    <row r="311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</row>
    <row r="312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</row>
    <row r="31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</row>
    <row r="314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</row>
    <row r="315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</row>
    <row r="316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</row>
    <row r="317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</row>
    <row r="318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</row>
    <row r="319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</row>
    <row r="320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</row>
    <row r="321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</row>
    <row r="322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</row>
    <row r="32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</row>
    <row r="324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</row>
    <row r="325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</row>
    <row r="326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</row>
    <row r="327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</row>
    <row r="328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</row>
    <row r="329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</row>
    <row r="330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</row>
    <row r="331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</row>
    <row r="332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</row>
    <row r="33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</row>
    <row r="334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</row>
    <row r="335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</row>
    <row r="336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</row>
    <row r="337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</row>
    <row r="338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</row>
    <row r="339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</row>
    <row r="340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</row>
    <row r="341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</row>
    <row r="342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</row>
    <row r="34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</row>
    <row r="344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</row>
    <row r="345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</row>
    <row r="346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</row>
    <row r="347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</row>
    <row r="348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</row>
    <row r="349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</row>
    <row r="350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</row>
    <row r="351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</row>
    <row r="352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</row>
    <row r="35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</row>
    <row r="354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</row>
    <row r="355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</row>
    <row r="356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</row>
    <row r="357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</row>
    <row r="358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</row>
    <row r="359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</row>
    <row r="360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</row>
    <row r="361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</row>
    <row r="362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</row>
    <row r="36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</row>
    <row r="364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</row>
    <row r="365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</row>
    <row r="366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</row>
    <row r="367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</row>
    <row r="368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</row>
    <row r="369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</row>
    <row r="370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</row>
    <row r="371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</row>
    <row r="372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</row>
    <row r="37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</row>
    <row r="374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</row>
    <row r="375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</row>
    <row r="376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</row>
    <row r="377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</row>
    <row r="378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</row>
    <row r="379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</row>
    <row r="380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</row>
    <row r="381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</row>
    <row r="382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</row>
    <row r="38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</row>
    <row r="384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</row>
    <row r="385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</row>
    <row r="386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</row>
    <row r="387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</row>
    <row r="388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</row>
    <row r="389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</row>
    <row r="390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</row>
    <row r="391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</row>
    <row r="392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</row>
    <row r="39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</row>
    <row r="394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</row>
    <row r="395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</row>
    <row r="396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</row>
    <row r="397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</row>
    <row r="398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</row>
    <row r="399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</row>
    <row r="400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</row>
    <row r="401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</row>
    <row r="402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</row>
    <row r="40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</row>
    <row r="404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</row>
    <row r="405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</row>
    <row r="406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</row>
    <row r="407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</row>
    <row r="408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</row>
    <row r="409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</row>
    <row r="410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</row>
    <row r="411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</row>
    <row r="412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</row>
    <row r="41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</row>
    <row r="414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</row>
    <row r="415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</row>
    <row r="416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</row>
    <row r="417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</row>
    <row r="418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</row>
    <row r="419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</row>
    <row r="420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</row>
    <row r="421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</row>
    <row r="422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</row>
    <row r="42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</row>
    <row r="424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</row>
    <row r="425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</row>
    <row r="426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</row>
    <row r="427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</row>
    <row r="428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</row>
    <row r="429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</row>
    <row r="430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</row>
    <row r="431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</row>
    <row r="432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</row>
    <row r="43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</row>
    <row r="434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</row>
    <row r="435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</row>
    <row r="436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</row>
    <row r="437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</row>
    <row r="438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</row>
    <row r="439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</row>
    <row r="440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</row>
    <row r="441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</row>
    <row r="442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</row>
    <row r="44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</row>
    <row r="444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</row>
    <row r="445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</row>
    <row r="446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</row>
    <row r="447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</row>
    <row r="448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</row>
    <row r="449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</row>
    <row r="450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</row>
    <row r="451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</row>
    <row r="452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</row>
    <row r="45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</row>
    <row r="454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</row>
    <row r="455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</row>
    <row r="456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</row>
    <row r="457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</row>
    <row r="458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</row>
    <row r="459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</row>
    <row r="460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</row>
    <row r="461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</row>
    <row r="462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</row>
    <row r="46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</row>
    <row r="464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</row>
    <row r="465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</row>
    <row r="466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</row>
    <row r="467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</row>
    <row r="468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</row>
    <row r="469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</row>
    <row r="470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</row>
    <row r="471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</row>
    <row r="472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</row>
    <row r="47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</row>
    <row r="474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</row>
    <row r="475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</row>
    <row r="476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</row>
    <row r="477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</row>
    <row r="478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</row>
    <row r="479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</row>
    <row r="480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</row>
    <row r="481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</row>
    <row r="482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</row>
    <row r="48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</row>
    <row r="484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</row>
    <row r="485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</row>
    <row r="486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</row>
    <row r="487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</row>
    <row r="488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</row>
    <row r="489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</row>
    <row r="490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</row>
    <row r="491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</row>
    <row r="492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</row>
    <row r="49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</row>
    <row r="494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</row>
    <row r="495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</row>
    <row r="496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</row>
    <row r="497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</row>
    <row r="498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</row>
    <row r="499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</row>
    <row r="500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</row>
    <row r="501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</row>
    <row r="502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</row>
    <row r="50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</row>
    <row r="504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</row>
    <row r="505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</row>
    <row r="506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</row>
    <row r="507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</row>
    <row r="508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</row>
    <row r="509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</row>
    <row r="510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</row>
    <row r="511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</row>
    <row r="512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</row>
    <row r="51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</row>
    <row r="514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</row>
    <row r="515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</row>
    <row r="516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</row>
    <row r="517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</row>
    <row r="518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</row>
    <row r="519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</row>
    <row r="520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</row>
    <row r="521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</row>
    <row r="522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</row>
    <row r="52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</row>
    <row r="524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</row>
    <row r="525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</row>
    <row r="526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</row>
    <row r="527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</row>
    <row r="528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</row>
    <row r="529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</row>
    <row r="530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</row>
    <row r="531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</row>
    <row r="532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</row>
    <row r="53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</row>
    <row r="534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</row>
    <row r="535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</row>
    <row r="536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</row>
    <row r="537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</row>
    <row r="538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</row>
    <row r="539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</row>
    <row r="540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</row>
    <row r="541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</row>
    <row r="542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</row>
    <row r="54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</row>
    <row r="544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</row>
    <row r="545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</row>
    <row r="546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</row>
    <row r="547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</row>
    <row r="548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</row>
    <row r="549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</row>
    <row r="550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</row>
    <row r="551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</row>
    <row r="552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</row>
    <row r="55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</row>
    <row r="554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</row>
    <row r="555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</row>
    <row r="556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</row>
    <row r="557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</row>
    <row r="558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</row>
    <row r="559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</row>
    <row r="560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</row>
    <row r="561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</row>
    <row r="562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</row>
    <row r="56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</row>
    <row r="564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</row>
    <row r="565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</row>
    <row r="566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</row>
    <row r="567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</row>
    <row r="568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</row>
    <row r="569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</row>
    <row r="570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</row>
    <row r="571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</row>
    <row r="572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</row>
    <row r="57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</row>
    <row r="574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</row>
    <row r="575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</row>
    <row r="576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</row>
    <row r="577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</row>
    <row r="578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</row>
    <row r="579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</row>
    <row r="580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</row>
    <row r="581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</row>
    <row r="582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</row>
    <row r="58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</row>
    <row r="584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</row>
    <row r="585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</row>
    <row r="586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</row>
    <row r="587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</row>
    <row r="588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</row>
    <row r="589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</row>
    <row r="590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</row>
    <row r="591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</row>
    <row r="592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</row>
    <row r="59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</row>
    <row r="594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</row>
    <row r="595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</row>
    <row r="596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</row>
    <row r="597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</row>
    <row r="598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</row>
    <row r="599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</row>
    <row r="600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</row>
    <row r="601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</row>
    <row r="602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</row>
    <row r="60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</row>
    <row r="604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</row>
    <row r="605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</row>
    <row r="606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</row>
    <row r="607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</row>
    <row r="608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</row>
    <row r="609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</row>
    <row r="610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</row>
    <row r="611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</row>
    <row r="612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</row>
    <row r="61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</row>
    <row r="614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</row>
    <row r="615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</row>
    <row r="616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</row>
    <row r="617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</row>
    <row r="618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</row>
    <row r="619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</row>
    <row r="620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</row>
    <row r="621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</row>
    <row r="622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</row>
    <row r="62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</row>
    <row r="624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</row>
    <row r="625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</row>
    <row r="626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</row>
    <row r="627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</row>
    <row r="628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</row>
    <row r="629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</row>
    <row r="630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</row>
    <row r="631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</row>
    <row r="632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</row>
    <row r="63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</row>
    <row r="634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</row>
    <row r="635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</row>
    <row r="636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</row>
    <row r="637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</row>
    <row r="638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</row>
    <row r="639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</row>
    <row r="640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</row>
    <row r="641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</row>
    <row r="642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</row>
    <row r="64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</row>
    <row r="644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</row>
    <row r="645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</row>
    <row r="646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</row>
    <row r="647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</row>
    <row r="648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</row>
    <row r="649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</row>
    <row r="650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</row>
    <row r="651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</row>
    <row r="652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</row>
    <row r="65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</row>
    <row r="654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</row>
    <row r="655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</row>
    <row r="656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</row>
    <row r="657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</row>
    <row r="658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</row>
    <row r="659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</row>
    <row r="660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</row>
    <row r="661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</row>
    <row r="662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</row>
    <row r="66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</row>
    <row r="664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</row>
    <row r="665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</row>
    <row r="666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</row>
    <row r="667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</row>
    <row r="668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</row>
    <row r="669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</row>
    <row r="670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</row>
    <row r="671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</row>
    <row r="672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</row>
    <row r="67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</row>
    <row r="674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</row>
    <row r="675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</row>
    <row r="676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</row>
    <row r="677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</row>
    <row r="678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</row>
    <row r="679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</row>
    <row r="680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</row>
    <row r="681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</row>
    <row r="682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</row>
    <row r="68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</row>
    <row r="684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</row>
    <row r="685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</row>
    <row r="686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</row>
    <row r="687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</row>
    <row r="688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</row>
    <row r="689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</row>
    <row r="690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</row>
    <row r="691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</row>
    <row r="692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</row>
    <row r="69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</row>
    <row r="694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</row>
    <row r="695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</row>
    <row r="696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</row>
    <row r="697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</row>
    <row r="698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</row>
    <row r="699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</row>
    <row r="700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</row>
    <row r="701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</row>
    <row r="702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</row>
    <row r="70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</row>
    <row r="704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</row>
    <row r="705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</row>
    <row r="706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</row>
    <row r="707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</row>
    <row r="708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</row>
    <row r="709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</row>
    <row r="710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</row>
    <row r="711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</row>
    <row r="712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</row>
    <row r="71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</row>
    <row r="714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</row>
    <row r="715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</row>
    <row r="716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</row>
    <row r="717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</row>
    <row r="718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</row>
    <row r="719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</row>
    <row r="720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</row>
    <row r="721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</row>
    <row r="722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</row>
    <row r="72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</row>
    <row r="724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</row>
    <row r="725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</row>
    <row r="726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</row>
    <row r="727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</row>
    <row r="728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</row>
    <row r="729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</row>
    <row r="730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</row>
    <row r="731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</row>
    <row r="732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</row>
    <row r="73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</row>
    <row r="734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</row>
    <row r="735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</row>
    <row r="736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</row>
    <row r="737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</row>
    <row r="738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</row>
    <row r="739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</row>
    <row r="740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</row>
    <row r="741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</row>
    <row r="742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</row>
    <row r="74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</row>
    <row r="744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</row>
    <row r="745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</row>
    <row r="746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</row>
    <row r="747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</row>
    <row r="748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</row>
    <row r="749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</row>
    <row r="750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</row>
    <row r="751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</row>
    <row r="752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</row>
    <row r="75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</row>
    <row r="754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</row>
    <row r="755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</row>
    <row r="756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</row>
    <row r="757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</row>
    <row r="758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</row>
    <row r="759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</row>
    <row r="760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</row>
    <row r="761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</row>
    <row r="762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</row>
    <row r="76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</row>
    <row r="764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</row>
    <row r="765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</row>
    <row r="766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</row>
    <row r="767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</row>
    <row r="768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</row>
    <row r="769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</row>
    <row r="770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</row>
    <row r="771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</row>
    <row r="772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</row>
    <row r="77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</row>
    <row r="774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</row>
    <row r="775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</row>
    <row r="776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</row>
    <row r="777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</row>
    <row r="778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</row>
    <row r="779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</row>
    <row r="780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</row>
    <row r="781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</row>
    <row r="782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</row>
    <row r="78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</row>
    <row r="784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</row>
    <row r="785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</row>
    <row r="786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</row>
    <row r="787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</row>
    <row r="788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</row>
    <row r="789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</row>
    <row r="790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</row>
    <row r="791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</row>
    <row r="792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</row>
    <row r="79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</row>
    <row r="794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</row>
    <row r="795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</row>
    <row r="796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</row>
    <row r="797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</row>
    <row r="798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</row>
    <row r="799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</row>
    <row r="800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</row>
    <row r="801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</row>
    <row r="802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</row>
    <row r="80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</row>
    <row r="804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</row>
    <row r="805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</row>
    <row r="806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</row>
    <row r="807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</row>
    <row r="808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</row>
    <row r="809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</row>
    <row r="810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</row>
    <row r="811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</row>
    <row r="812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</row>
    <row r="81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</row>
    <row r="814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</row>
    <row r="815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</row>
    <row r="816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</row>
    <row r="817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</row>
    <row r="818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</row>
    <row r="819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</row>
    <row r="820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</row>
    <row r="821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</row>
    <row r="822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</row>
    <row r="82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</row>
    <row r="824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</row>
    <row r="825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</row>
    <row r="826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</row>
    <row r="827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</row>
    <row r="828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</row>
    <row r="829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</row>
    <row r="830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</row>
    <row r="831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</row>
    <row r="832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</row>
    <row r="83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</row>
    <row r="834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</row>
    <row r="835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</row>
    <row r="836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</row>
    <row r="837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</row>
    <row r="838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</row>
    <row r="839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</row>
    <row r="840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</row>
    <row r="841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</row>
    <row r="842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</row>
    <row r="84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</row>
    <row r="844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</row>
    <row r="845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</row>
    <row r="846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</row>
    <row r="847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</row>
    <row r="848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</row>
    <row r="849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</row>
    <row r="850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</row>
    <row r="851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</row>
    <row r="852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</row>
    <row r="85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</row>
    <row r="854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</row>
    <row r="855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</row>
    <row r="856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</row>
    <row r="857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</row>
    <row r="858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</row>
    <row r="859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</row>
    <row r="860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</row>
    <row r="861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</row>
    <row r="862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</row>
    <row r="86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</row>
    <row r="864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</row>
    <row r="865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</row>
    <row r="866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</row>
    <row r="867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</row>
    <row r="868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</row>
    <row r="869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</row>
    <row r="870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</row>
    <row r="871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</row>
    <row r="872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</row>
    <row r="87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</row>
    <row r="874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</row>
    <row r="875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</row>
    <row r="876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</row>
    <row r="877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</row>
    <row r="878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</row>
    <row r="879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</row>
    <row r="880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</row>
    <row r="881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</row>
    <row r="882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</row>
    <row r="88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</row>
    <row r="884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</row>
    <row r="885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</row>
    <row r="886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</row>
    <row r="887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</row>
    <row r="888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</row>
    <row r="889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</row>
    <row r="890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</row>
    <row r="891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</row>
    <row r="892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</row>
    <row r="89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</row>
    <row r="894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</row>
    <row r="895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</row>
    <row r="896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</row>
    <row r="897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</row>
    <row r="898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</row>
    <row r="899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</row>
    <row r="900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</row>
    <row r="901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</row>
    <row r="902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</row>
    <row r="90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</row>
    <row r="904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</row>
    <row r="905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</row>
    <row r="906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</row>
    <row r="907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</row>
    <row r="908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</row>
    <row r="909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</row>
    <row r="910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</row>
    <row r="911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</row>
    <row r="912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</row>
    <row r="91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</row>
    <row r="914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</row>
    <row r="915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</row>
    <row r="916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</row>
    <row r="917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</row>
    <row r="918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</row>
    <row r="919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</row>
    <row r="920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</row>
    <row r="921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</row>
    <row r="922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</row>
    <row r="92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</row>
    <row r="924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</row>
    <row r="925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</row>
    <row r="926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</row>
    <row r="927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</row>
    <row r="928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</row>
    <row r="929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</row>
    <row r="930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</row>
    <row r="931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</row>
    <row r="932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</row>
    <row r="93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</row>
    <row r="934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</row>
    <row r="935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</row>
    <row r="936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</row>
    <row r="937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</row>
    <row r="938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</row>
    <row r="939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</row>
    <row r="940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</row>
    <row r="941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</row>
    <row r="942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</row>
    <row r="94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</row>
    <row r="944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</row>
    <row r="945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</row>
    <row r="946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</row>
    <row r="947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</row>
    <row r="948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</row>
    <row r="949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</row>
    <row r="950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</row>
    <row r="951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</row>
    <row r="952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</row>
    <row r="95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</row>
    <row r="954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</row>
    <row r="955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</row>
    <row r="956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</row>
    <row r="957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</row>
    <row r="958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</row>
    <row r="959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</row>
    <row r="960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</row>
    <row r="961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</row>
    <row r="962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</row>
    <row r="963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</row>
    <row r="964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</row>
    <row r="965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</row>
    <row r="966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</row>
    <row r="967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</row>
    <row r="968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</row>
    <row r="969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</row>
    <row r="970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</row>
    <row r="971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</row>
    <row r="972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</row>
    <row r="973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</row>
    <row r="974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</row>
    <row r="975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</row>
    <row r="976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</row>
    <row r="977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</row>
    <row r="978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</row>
    <row r="979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</row>
    <row r="980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</row>
    <row r="981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</row>
    <row r="982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</row>
    <row r="983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</row>
    <row r="984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</row>
    <row r="985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</row>
    <row r="986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</row>
    <row r="987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</row>
    <row r="988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</row>
    <row r="989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106"/>
      <c r="AE989" s="106"/>
    </row>
    <row r="990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106"/>
      <c r="AE990" s="106"/>
    </row>
    <row r="991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106"/>
      <c r="AE991" s="106"/>
    </row>
    <row r="992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106"/>
      <c r="AE992" s="106"/>
    </row>
    <row r="993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106"/>
      <c r="AE993" s="106"/>
    </row>
    <row r="994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106"/>
      <c r="AE994" s="106"/>
    </row>
    <row r="995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106"/>
      <c r="AE995" s="106"/>
    </row>
    <row r="996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106"/>
      <c r="AE996" s="106"/>
    </row>
    <row r="997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106"/>
      <c r="AE997" s="106"/>
    </row>
  </sheetData>
  <mergeCells count="16">
    <mergeCell ref="A1:A2"/>
    <mergeCell ref="B1:B2"/>
    <mergeCell ref="C1:C2"/>
    <mergeCell ref="D1:D2"/>
    <mergeCell ref="E1:E2"/>
    <mergeCell ref="F1:F2"/>
    <mergeCell ref="G1:G2"/>
    <mergeCell ref="X1:AA1"/>
    <mergeCell ref="AB1:AE1"/>
    <mergeCell ref="H1:H2"/>
    <mergeCell ref="I1:I2"/>
    <mergeCell ref="J1:J2"/>
    <mergeCell ref="K1:K2"/>
    <mergeCell ref="L1:O1"/>
    <mergeCell ref="P1:S1"/>
    <mergeCell ref="T1:W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6.0"/>
    <col customWidth="1" min="3" max="3" width="7.5"/>
    <col customWidth="1" min="4" max="9" width="11.13"/>
    <col customWidth="1" min="10" max="35" width="9.63"/>
  </cols>
  <sheetData>
    <row r="1">
      <c r="A1" s="1" t="s">
        <v>63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11</v>
      </c>
      <c r="N1" s="6" t="s">
        <v>12</v>
      </c>
      <c r="R1" s="7" t="s">
        <v>13</v>
      </c>
      <c r="V1" s="8" t="s">
        <v>14</v>
      </c>
      <c r="Z1" s="9" t="s">
        <v>15</v>
      </c>
      <c r="AD1" s="9"/>
      <c r="AE1" s="9"/>
      <c r="AF1" s="9"/>
      <c r="AG1" s="9"/>
      <c r="AH1" s="9"/>
      <c r="AI1" s="9"/>
    </row>
    <row r="2">
      <c r="J2" s="5" t="s">
        <v>16</v>
      </c>
      <c r="K2" s="5" t="s">
        <v>17</v>
      </c>
      <c r="L2" s="5" t="s">
        <v>18</v>
      </c>
      <c r="M2" s="5" t="s">
        <v>19</v>
      </c>
      <c r="N2" s="6" t="s">
        <v>16</v>
      </c>
      <c r="O2" s="6" t="s">
        <v>17</v>
      </c>
      <c r="P2" s="6" t="s">
        <v>18</v>
      </c>
      <c r="Q2" s="6" t="s">
        <v>19</v>
      </c>
      <c r="R2" s="7" t="s">
        <v>16</v>
      </c>
      <c r="S2" s="7" t="s">
        <v>17</v>
      </c>
      <c r="T2" s="7" t="s">
        <v>18</v>
      </c>
      <c r="U2" s="7" t="s">
        <v>19</v>
      </c>
      <c r="V2" s="8" t="s">
        <v>16</v>
      </c>
      <c r="W2" s="8" t="s">
        <v>17</v>
      </c>
      <c r="X2" s="8" t="s">
        <v>18</v>
      </c>
      <c r="Y2" s="8" t="s">
        <v>19</v>
      </c>
      <c r="Z2" s="9" t="s">
        <v>16</v>
      </c>
      <c r="AA2" s="9" t="s">
        <v>17</v>
      </c>
      <c r="AB2" s="9" t="s">
        <v>18</v>
      </c>
      <c r="AC2" s="9" t="s">
        <v>19</v>
      </c>
      <c r="AD2" s="9"/>
      <c r="AE2" s="9"/>
      <c r="AF2" s="9"/>
      <c r="AG2" s="9"/>
      <c r="AH2" s="9"/>
      <c r="AI2" s="9"/>
    </row>
    <row r="3">
      <c r="A3" s="10">
        <v>1.0</v>
      </c>
      <c r="B3" s="10" t="s">
        <v>20</v>
      </c>
      <c r="C3" s="11" t="s">
        <v>21</v>
      </c>
      <c r="D3" s="12">
        <v>183.0</v>
      </c>
      <c r="E3" s="12">
        <v>10660.0</v>
      </c>
      <c r="F3" s="12">
        <v>3.0</v>
      </c>
      <c r="G3" s="12">
        <v>23.35</v>
      </c>
      <c r="H3" s="12">
        <v>1.689</v>
      </c>
      <c r="I3" s="12">
        <v>7.104</v>
      </c>
      <c r="J3" s="12">
        <v>0.6401</v>
      </c>
      <c r="K3" s="12">
        <v>0.3667</v>
      </c>
      <c r="L3" s="12">
        <v>1.989</v>
      </c>
      <c r="M3" s="12">
        <v>0.1483</v>
      </c>
      <c r="N3" s="12">
        <v>0.6026</v>
      </c>
      <c r="O3" s="12">
        <v>0.0871</v>
      </c>
      <c r="P3" s="12">
        <v>1.0</v>
      </c>
      <c r="Q3" s="12">
        <v>0.352</v>
      </c>
      <c r="R3" s="12">
        <v>0.1483</v>
      </c>
      <c r="S3" s="12">
        <v>0.0348</v>
      </c>
      <c r="T3" s="12">
        <v>0.2536</v>
      </c>
      <c r="U3" s="12">
        <v>0.0631</v>
      </c>
      <c r="V3" s="12">
        <v>0.0038</v>
      </c>
      <c r="W3" s="12">
        <v>0.0105</v>
      </c>
      <c r="X3" s="12">
        <v>0.0708</v>
      </c>
      <c r="Y3" s="12">
        <v>0.0</v>
      </c>
      <c r="Z3" s="12">
        <v>0.0057</v>
      </c>
      <c r="AA3" s="12">
        <v>0.0253</v>
      </c>
      <c r="AB3" s="12">
        <v>0.2437</v>
      </c>
      <c r="AC3" s="12">
        <v>0.0</v>
      </c>
      <c r="AD3" s="12"/>
      <c r="AE3" s="12"/>
      <c r="AF3" s="12"/>
      <c r="AG3" s="12"/>
      <c r="AH3" s="12"/>
      <c r="AI3" s="12"/>
    </row>
    <row r="4">
      <c r="A4" s="10">
        <v>2.0</v>
      </c>
      <c r="B4" s="10" t="s">
        <v>22</v>
      </c>
      <c r="C4" s="11" t="s">
        <v>23</v>
      </c>
      <c r="D4" s="12">
        <v>174.0</v>
      </c>
      <c r="E4" s="12">
        <v>4631.0</v>
      </c>
      <c r="F4" s="12">
        <v>5.0</v>
      </c>
      <c r="G4" s="12">
        <v>15.45</v>
      </c>
      <c r="H4" s="12">
        <v>2.18</v>
      </c>
      <c r="I4" s="12">
        <v>6.1</v>
      </c>
      <c r="J4" s="12">
        <v>0.3077</v>
      </c>
      <c r="K4" s="12">
        <v>0.1101</v>
      </c>
      <c r="L4" s="12">
        <v>0.9017</v>
      </c>
      <c r="M4" s="12">
        <v>0.0347</v>
      </c>
      <c r="N4" s="12">
        <v>0.4723</v>
      </c>
      <c r="O4" s="12">
        <v>0.0709</v>
      </c>
      <c r="P4" s="12">
        <v>0.6504</v>
      </c>
      <c r="Q4" s="12">
        <v>0.2733</v>
      </c>
      <c r="R4" s="12">
        <v>0.171</v>
      </c>
      <c r="S4" s="12">
        <v>0.0319</v>
      </c>
      <c r="T4" s="12">
        <v>0.2376</v>
      </c>
      <c r="U4" s="12">
        <v>0.0925</v>
      </c>
      <c r="V4" s="12">
        <v>0.0068</v>
      </c>
      <c r="W4" s="12">
        <v>0.0243</v>
      </c>
      <c r="X4" s="12">
        <v>0.2328</v>
      </c>
      <c r="Y4" s="12">
        <v>0.0</v>
      </c>
      <c r="Z4" s="12">
        <v>0.0069</v>
      </c>
      <c r="AA4" s="12">
        <v>0.0251</v>
      </c>
      <c r="AB4" s="12">
        <v>0.238</v>
      </c>
      <c r="AC4" s="12">
        <v>0.0</v>
      </c>
      <c r="AD4" s="12"/>
      <c r="AE4" s="12"/>
      <c r="AF4" s="12"/>
      <c r="AG4" s="12"/>
      <c r="AH4" s="12"/>
      <c r="AI4" s="12"/>
    </row>
    <row r="5">
      <c r="A5" s="10">
        <v>3.0</v>
      </c>
      <c r="B5" s="10" t="s">
        <v>24</v>
      </c>
      <c r="C5" s="11" t="s">
        <v>25</v>
      </c>
      <c r="D5" s="12">
        <v>167.0</v>
      </c>
      <c r="E5" s="12">
        <v>5281.0</v>
      </c>
      <c r="F5" s="12">
        <v>3.0</v>
      </c>
      <c r="G5" s="107">
        <v>23.42</v>
      </c>
      <c r="H5" s="14">
        <v>1.7824</v>
      </c>
      <c r="I5" s="14">
        <v>9.71</v>
      </c>
      <c r="J5" s="20">
        <v>0.243417</v>
      </c>
      <c r="K5" s="20">
        <v>0.111337</v>
      </c>
      <c r="L5" s="20">
        <v>0.789157</v>
      </c>
      <c r="M5" s="20">
        <v>0.036145</v>
      </c>
      <c r="N5" s="108">
        <v>0.565172</v>
      </c>
      <c r="O5" s="108">
        <v>0.048704</v>
      </c>
      <c r="P5" s="108">
        <v>0.825871</v>
      </c>
      <c r="Q5" s="108">
        <v>0.282918149466192</v>
      </c>
      <c r="R5" s="108">
        <v>0.1137</v>
      </c>
      <c r="S5" s="108">
        <v>0.035314</v>
      </c>
      <c r="T5" s="108">
        <v>0.174782</v>
      </c>
      <c r="U5" s="108">
        <v>0.061074</v>
      </c>
      <c r="V5" s="108">
        <v>0.004742</v>
      </c>
      <c r="W5" s="108">
        <v>0.01943</v>
      </c>
      <c r="X5" s="108">
        <v>0.221906</v>
      </c>
      <c r="Y5" s="14">
        <v>0.0</v>
      </c>
      <c r="Z5" s="108">
        <v>0.00643</v>
      </c>
      <c r="AA5" s="108">
        <v>0.025984</v>
      </c>
      <c r="AB5" s="108">
        <v>0.202768</v>
      </c>
      <c r="AC5" s="14">
        <v>0.0</v>
      </c>
      <c r="AD5" s="14"/>
      <c r="AE5" s="14"/>
      <c r="AF5" s="14"/>
      <c r="AG5" s="14"/>
      <c r="AH5" s="14"/>
      <c r="AI5" s="14"/>
    </row>
    <row r="6">
      <c r="A6" s="10">
        <v>4.0</v>
      </c>
      <c r="B6" s="10" t="s">
        <v>26</v>
      </c>
      <c r="C6" s="11" t="s">
        <v>25</v>
      </c>
      <c r="D6" s="12">
        <v>132.0</v>
      </c>
      <c r="E6" s="12">
        <v>3239.0</v>
      </c>
      <c r="F6" s="12">
        <v>3.0</v>
      </c>
      <c r="G6" s="12">
        <v>1173.529</v>
      </c>
      <c r="H6" s="109">
        <v>1.843</v>
      </c>
      <c r="I6" s="12">
        <v>59.60245</v>
      </c>
      <c r="J6" s="110">
        <v>0.3746</v>
      </c>
      <c r="K6" s="110">
        <v>0.2504</v>
      </c>
      <c r="L6" s="110">
        <v>1.95419847328244</v>
      </c>
      <c r="M6" s="110">
        <v>0.0763358778625954</v>
      </c>
      <c r="N6" s="109">
        <v>0.5471</v>
      </c>
      <c r="O6" s="109">
        <v>0.0556</v>
      </c>
      <c r="P6" s="109">
        <v>0.97037037037037</v>
      </c>
      <c r="Q6" s="109">
        <v>0.404320987654321</v>
      </c>
      <c r="R6" s="12">
        <v>0.0217</v>
      </c>
      <c r="S6" s="12">
        <v>0.00573</v>
      </c>
      <c r="T6" s="111">
        <v>0.03169</v>
      </c>
      <c r="U6" s="12">
        <v>0.00168</v>
      </c>
      <c r="V6" s="109">
        <v>0.0065</v>
      </c>
      <c r="W6" s="109">
        <v>0.0497</v>
      </c>
      <c r="X6" s="109">
        <v>0.566687253696809</v>
      </c>
      <c r="Y6" s="109">
        <v>0.0</v>
      </c>
      <c r="Z6" s="12">
        <v>0.00648</v>
      </c>
      <c r="AA6" s="12">
        <v>0.0497</v>
      </c>
      <c r="AB6" s="12">
        <v>0.566687</v>
      </c>
      <c r="AC6" s="12">
        <v>0.0</v>
      </c>
      <c r="AD6" s="12"/>
      <c r="AE6" s="12"/>
      <c r="AF6" s="12"/>
      <c r="AG6" s="12"/>
      <c r="AH6" s="12"/>
      <c r="AI6" s="12"/>
    </row>
    <row r="7">
      <c r="A7" s="10">
        <v>5.0</v>
      </c>
      <c r="B7" s="10" t="s">
        <v>27</v>
      </c>
      <c r="C7" s="11" t="s">
        <v>21</v>
      </c>
      <c r="D7" s="12">
        <v>166.0</v>
      </c>
      <c r="E7" s="12">
        <v>9773.0</v>
      </c>
      <c r="F7" s="12">
        <v>3.0</v>
      </c>
      <c r="G7" s="112">
        <v>28.092216981132</v>
      </c>
      <c r="H7" s="14">
        <v>1.64538152610441</v>
      </c>
      <c r="I7" s="112">
        <v>8.78640968541111</v>
      </c>
      <c r="J7" s="14">
        <v>0.713618108798831</v>
      </c>
      <c r="K7" s="14">
        <v>0.332359217057112</v>
      </c>
      <c r="L7" s="14">
        <v>1.89696969696969</v>
      </c>
      <c r="M7" s="14">
        <v>0.181818181818181</v>
      </c>
      <c r="N7" s="14">
        <v>0.614162850842546</v>
      </c>
      <c r="O7" s="14">
        <v>0.0681823658266672</v>
      </c>
      <c r="P7" s="14">
        <v>0.976331360946745</v>
      </c>
      <c r="Q7" s="14">
        <v>0.514018691588785</v>
      </c>
      <c r="R7" s="14">
        <v>0.120499656954008</v>
      </c>
      <c r="S7" s="14">
        <v>0.0279235354713953</v>
      </c>
      <c r="T7" s="14">
        <v>0.214155798229018</v>
      </c>
      <c r="U7" s="14">
        <v>0.0490668070496576</v>
      </c>
      <c r="V7" s="113">
        <v>0.00393525320795376</v>
      </c>
      <c r="W7" s="113">
        <v>0.0112308075751165</v>
      </c>
      <c r="X7" s="113">
        <v>0.095392332560914</v>
      </c>
      <c r="Y7" s="114">
        <v>0.0</v>
      </c>
      <c r="Z7" s="14">
        <v>0.00561069110143456</v>
      </c>
      <c r="AA7" s="14">
        <v>0.0357552226425818</v>
      </c>
      <c r="AB7" s="14">
        <v>0.368104828775561</v>
      </c>
      <c r="AC7" s="12">
        <v>0.0</v>
      </c>
      <c r="AD7" s="12"/>
      <c r="AE7" s="12"/>
      <c r="AF7" s="12"/>
      <c r="AG7" s="12"/>
      <c r="AH7" s="12"/>
      <c r="AI7" s="12"/>
    </row>
    <row r="8">
      <c r="A8" s="10">
        <v>6.0</v>
      </c>
      <c r="B8" s="10" t="s">
        <v>28</v>
      </c>
      <c r="C8" s="11" t="s">
        <v>25</v>
      </c>
      <c r="D8" s="12"/>
      <c r="E8" s="12"/>
      <c r="F8" s="12"/>
      <c r="G8" s="115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>
      <c r="A9" s="10">
        <v>7.0</v>
      </c>
      <c r="B9" s="10" t="s">
        <v>29</v>
      </c>
      <c r="C9" s="11" t="s">
        <v>23</v>
      </c>
      <c r="D9" s="12">
        <v>142.0</v>
      </c>
      <c r="E9" s="12">
        <v>4494.0</v>
      </c>
      <c r="F9" s="12">
        <v>3.0</v>
      </c>
      <c r="G9" s="116">
        <v>27.969823</v>
      </c>
      <c r="H9" s="117">
        <v>1.997902</v>
      </c>
      <c r="I9" s="116">
        <v>9.805646</v>
      </c>
      <c r="J9" s="118">
        <v>0.448906</v>
      </c>
      <c r="K9" s="118">
        <v>0.190855</v>
      </c>
      <c r="L9" s="118">
        <v>1.588652</v>
      </c>
      <c r="M9" s="119">
        <v>0.028369</v>
      </c>
      <c r="N9" s="116">
        <v>0.507891</v>
      </c>
      <c r="O9" s="116">
        <v>0.064825</v>
      </c>
      <c r="P9" s="116">
        <v>0.829412</v>
      </c>
      <c r="Q9" s="116">
        <v>0.384196</v>
      </c>
      <c r="R9" s="116">
        <v>0.104561</v>
      </c>
      <c r="S9" s="116">
        <v>0.021079</v>
      </c>
      <c r="T9" s="116">
        <v>0.169579</v>
      </c>
      <c r="U9" s="116">
        <v>0.057027</v>
      </c>
      <c r="V9" s="116">
        <v>0.007128</v>
      </c>
      <c r="W9" s="116">
        <v>0.037651</v>
      </c>
      <c r="X9" s="116">
        <v>0.411776</v>
      </c>
      <c r="Y9" s="116">
        <v>0.0</v>
      </c>
      <c r="Z9" s="116">
        <v>0.008506</v>
      </c>
      <c r="AA9" s="116">
        <v>0.046622</v>
      </c>
      <c r="AB9" s="116">
        <v>0.460118</v>
      </c>
      <c r="AC9" s="116">
        <v>0.0</v>
      </c>
      <c r="AD9" s="116"/>
      <c r="AE9" s="116"/>
      <c r="AF9" s="116"/>
      <c r="AG9" s="116"/>
      <c r="AH9" s="116"/>
      <c r="AI9" s="116"/>
    </row>
    <row r="10">
      <c r="A10" s="10">
        <v>8.0</v>
      </c>
      <c r="B10" s="10" t="s">
        <v>30</v>
      </c>
      <c r="C10" s="11" t="s">
        <v>25</v>
      </c>
      <c r="D10" s="12">
        <v>87.0</v>
      </c>
      <c r="E10" s="12">
        <v>3057.0</v>
      </c>
      <c r="F10" s="12">
        <v>3.0</v>
      </c>
      <c r="G10" s="12">
        <v>18.273452</v>
      </c>
      <c r="H10" s="12">
        <v>1.598236</v>
      </c>
      <c r="I10" s="12">
        <v>7.657788</v>
      </c>
      <c r="J10" s="12">
        <v>0.817161</v>
      </c>
      <c r="K10" s="12">
        <v>0.35295</v>
      </c>
      <c r="L10" s="12">
        <v>1.825581</v>
      </c>
      <c r="M10" s="12">
        <v>0.290698</v>
      </c>
      <c r="N10" s="12">
        <v>0.635738</v>
      </c>
      <c r="O10" s="12">
        <v>0.091047</v>
      </c>
      <c r="P10" s="12">
        <v>0.914894</v>
      </c>
      <c r="Q10" s="12">
        <v>0.530864</v>
      </c>
      <c r="R10" s="12">
        <v>0.136048308</v>
      </c>
      <c r="S10" s="12">
        <v>0.029721166</v>
      </c>
      <c r="T10" s="12">
        <v>0.211983612</v>
      </c>
      <c r="U10" s="12">
        <v>0.104657275</v>
      </c>
      <c r="V10" s="12">
        <v>0.007038</v>
      </c>
      <c r="W10" s="12">
        <v>0.017153</v>
      </c>
      <c r="X10" s="12">
        <v>0.067286</v>
      </c>
      <c r="Y10" s="12">
        <v>0.0</v>
      </c>
      <c r="Z10" s="12">
        <v>0.007298</v>
      </c>
      <c r="AA10" s="12">
        <v>0.021934</v>
      </c>
      <c r="AB10" s="12">
        <v>0.136388</v>
      </c>
      <c r="AC10" s="12">
        <v>0.0</v>
      </c>
      <c r="AD10" s="12"/>
      <c r="AE10" s="12"/>
      <c r="AF10" s="12"/>
      <c r="AG10" s="12"/>
      <c r="AH10" s="12"/>
      <c r="AI10" s="12"/>
    </row>
    <row r="11">
      <c r="A11" s="10">
        <v>9.0</v>
      </c>
      <c r="B11" s="10" t="s">
        <v>31</v>
      </c>
      <c r="C11" s="11" t="s">
        <v>21</v>
      </c>
      <c r="D11" s="12">
        <v>167.0</v>
      </c>
      <c r="E11" s="12">
        <v>2405.0</v>
      </c>
      <c r="F11" s="12">
        <v>4.0</v>
      </c>
      <c r="G11" s="12">
        <v>2064.83717434869</v>
      </c>
      <c r="H11" s="12">
        <v>2.04350335473631</v>
      </c>
      <c r="I11" s="12">
        <v>939.736117668148</v>
      </c>
      <c r="J11" s="120">
        <v>0.173508</v>
      </c>
      <c r="K11" s="121">
        <v>0.088659</v>
      </c>
      <c r="L11" s="121">
        <v>0.560241</v>
      </c>
      <c r="M11" s="120">
        <v>0.024096</v>
      </c>
      <c r="N11" s="120">
        <v>0.495957</v>
      </c>
      <c r="O11" s="120">
        <v>0.058459</v>
      </c>
      <c r="P11" s="120">
        <v>0.694561</v>
      </c>
      <c r="Q11" s="120">
        <v>0.350211</v>
      </c>
      <c r="R11" s="120">
        <v>0.001102</v>
      </c>
      <c r="S11" s="120">
        <v>2.05E-4</v>
      </c>
      <c r="T11" s="120">
        <v>0.001574</v>
      </c>
      <c r="U11" s="120">
        <v>7.33E-4</v>
      </c>
      <c r="V11" s="120">
        <v>0.006324</v>
      </c>
      <c r="W11" s="120">
        <v>0.014691</v>
      </c>
      <c r="X11" s="120">
        <v>0.100992</v>
      </c>
      <c r="Y11" s="120">
        <v>0.0</v>
      </c>
      <c r="Z11" s="120">
        <v>0.02897</v>
      </c>
      <c r="AA11" s="120">
        <v>0.026958</v>
      </c>
      <c r="AB11" s="120">
        <v>0.150652</v>
      </c>
      <c r="AC11" s="120">
        <v>0.0</v>
      </c>
      <c r="AD11" s="120"/>
      <c r="AE11" s="120"/>
      <c r="AF11" s="120"/>
      <c r="AG11" s="120"/>
      <c r="AH11" s="120"/>
      <c r="AI11" s="120"/>
    </row>
    <row r="12">
      <c r="A12" s="10">
        <v>10.0</v>
      </c>
      <c r="B12" s="36" t="s">
        <v>32</v>
      </c>
      <c r="C12" s="37" t="s">
        <v>21</v>
      </c>
      <c r="D12" s="122" t="s">
        <v>64</v>
      </c>
      <c r="E12" s="122" t="s">
        <v>65</v>
      </c>
      <c r="F12" s="12">
        <v>3.0</v>
      </c>
      <c r="G12" s="116">
        <v>4198.75</v>
      </c>
      <c r="H12" s="116">
        <v>1.33</v>
      </c>
      <c r="I12" s="116">
        <v>1588.5</v>
      </c>
      <c r="J12" s="116">
        <v>0.6732</v>
      </c>
      <c r="K12" s="123">
        <v>0.1982</v>
      </c>
      <c r="L12" s="123">
        <v>0.9845</v>
      </c>
      <c r="M12" s="116">
        <v>0.2403</v>
      </c>
      <c r="N12" s="116">
        <v>0.7702</v>
      </c>
      <c r="O12" s="116">
        <v>0.113</v>
      </c>
      <c r="P12" s="116">
        <v>0.9847</v>
      </c>
      <c r="Q12" s="116">
        <v>0.5633</v>
      </c>
      <c r="R12" s="116">
        <v>7.0E-4</v>
      </c>
      <c r="S12" s="116">
        <v>2.0E-4</v>
      </c>
      <c r="T12" s="116">
        <v>0.001</v>
      </c>
      <c r="U12" s="116">
        <v>4.0E-4</v>
      </c>
      <c r="V12" s="116">
        <v>0.0026</v>
      </c>
      <c r="W12" s="116">
        <v>0.003</v>
      </c>
      <c r="X12" s="116">
        <v>0.011</v>
      </c>
      <c r="Y12" s="116">
        <v>0.0</v>
      </c>
      <c r="Z12" s="116">
        <v>0.0604</v>
      </c>
      <c r="AA12" s="116">
        <v>0.0452</v>
      </c>
      <c r="AB12" s="116">
        <v>0.2792</v>
      </c>
      <c r="AC12" s="116">
        <v>0.0</v>
      </c>
      <c r="AD12" s="116"/>
      <c r="AE12" s="116"/>
      <c r="AF12" s="116"/>
      <c r="AG12" s="116"/>
      <c r="AH12" s="116"/>
      <c r="AI12" s="116"/>
    </row>
    <row r="13">
      <c r="A13" s="10">
        <v>11.0</v>
      </c>
      <c r="B13" s="10" t="s">
        <v>33</v>
      </c>
      <c r="C13" s="11" t="s">
        <v>25</v>
      </c>
      <c r="D13" s="12">
        <v>73.0</v>
      </c>
      <c r="E13" s="12">
        <v>1680.0</v>
      </c>
      <c r="F13" s="12">
        <v>2.0</v>
      </c>
      <c r="G13" s="12">
        <v>67.1</v>
      </c>
      <c r="H13" s="12">
        <v>1.6804</v>
      </c>
      <c r="I13" s="12">
        <v>38.6525</v>
      </c>
      <c r="J13" s="14">
        <v>0.3196</v>
      </c>
      <c r="K13" s="14">
        <v>0.1605</v>
      </c>
      <c r="L13" s="14">
        <v>1.0</v>
      </c>
      <c r="M13" s="12">
        <v>0.125</v>
      </c>
      <c r="N13" s="12">
        <v>0.6019</v>
      </c>
      <c r="O13" s="124">
        <v>0.0727</v>
      </c>
      <c r="P13" s="12">
        <v>1.0</v>
      </c>
      <c r="Q13" s="12">
        <v>0.5333</v>
      </c>
      <c r="R13" s="12">
        <v>0.0275</v>
      </c>
      <c r="S13" s="12">
        <v>0.0071</v>
      </c>
      <c r="T13" s="12">
        <v>0.0486</v>
      </c>
      <c r="U13" s="12">
        <v>0.0195</v>
      </c>
      <c r="V13" s="12">
        <v>0.0096</v>
      </c>
      <c r="W13" s="12">
        <v>0.0495</v>
      </c>
      <c r="X13" s="12">
        <v>0.4129</v>
      </c>
      <c r="Y13" s="12">
        <v>0.0</v>
      </c>
      <c r="Z13" s="12">
        <v>0.01</v>
      </c>
      <c r="AA13" s="12">
        <v>0.061</v>
      </c>
      <c r="AB13" s="12">
        <v>0.513</v>
      </c>
      <c r="AC13" s="12">
        <v>0.0</v>
      </c>
      <c r="AD13" s="12"/>
      <c r="AE13" s="12"/>
      <c r="AF13" s="12"/>
      <c r="AG13" s="12"/>
      <c r="AH13" s="12"/>
      <c r="AI13" s="12"/>
    </row>
    <row r="14">
      <c r="A14" s="10">
        <v>12.0</v>
      </c>
      <c r="B14" s="10" t="s">
        <v>34</v>
      </c>
      <c r="C14" s="11" t="s">
        <v>21</v>
      </c>
      <c r="D14" s="17">
        <v>133.0</v>
      </c>
      <c r="E14" s="17">
        <v>5472.0</v>
      </c>
      <c r="F14" s="17">
        <v>4.0</v>
      </c>
      <c r="G14" s="14">
        <v>149.2857</v>
      </c>
      <c r="H14" s="14">
        <v>1.7393</v>
      </c>
      <c r="I14" s="14">
        <v>12.5062</v>
      </c>
      <c r="J14" s="14">
        <v>0.6234</v>
      </c>
      <c r="K14" s="14">
        <v>0.2973</v>
      </c>
      <c r="L14" s="14">
        <v>1.447</v>
      </c>
      <c r="M14" s="45">
        <v>0.1591</v>
      </c>
      <c r="N14" s="45">
        <v>0.5831</v>
      </c>
      <c r="O14" s="45">
        <v>0.0663</v>
      </c>
      <c r="P14" s="45">
        <v>0.7765</v>
      </c>
      <c r="Q14" s="45">
        <v>0.3333</v>
      </c>
      <c r="R14" s="42">
        <v>0.091655</v>
      </c>
      <c r="S14" s="42">
        <v>0.020424</v>
      </c>
      <c r="T14" s="42">
        <v>0.135685</v>
      </c>
      <c r="U14" s="42">
        <v>0.012261</v>
      </c>
      <c r="V14" s="42">
        <v>0.005643</v>
      </c>
      <c r="W14" s="42">
        <v>0.009992</v>
      </c>
      <c r="X14" s="42">
        <v>0.05874</v>
      </c>
      <c r="Y14" s="14">
        <v>0.0</v>
      </c>
      <c r="Z14" s="42">
        <v>0.007756</v>
      </c>
      <c r="AA14" s="42">
        <v>0.029442</v>
      </c>
      <c r="AB14" s="42">
        <v>0.247896</v>
      </c>
      <c r="AC14" s="14">
        <v>0.0</v>
      </c>
      <c r="AD14" s="14"/>
      <c r="AE14" s="14"/>
      <c r="AF14" s="14"/>
      <c r="AG14" s="14"/>
      <c r="AH14" s="14"/>
      <c r="AI14" s="14"/>
    </row>
    <row r="15">
      <c r="A15" s="10">
        <v>13.0</v>
      </c>
      <c r="B15" s="10" t="s">
        <v>35</v>
      </c>
      <c r="C15" s="11" t="s">
        <v>21</v>
      </c>
      <c r="D15" s="12"/>
      <c r="E15" s="12"/>
      <c r="F15" s="12"/>
      <c r="G15" s="12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0">
        <v>14.0</v>
      </c>
      <c r="B16" s="10" t="s">
        <v>36</v>
      </c>
      <c r="C16" s="11" t="s">
        <v>23</v>
      </c>
      <c r="D16" s="12">
        <v>270.0</v>
      </c>
      <c r="E16" s="12">
        <v>12713.0</v>
      </c>
      <c r="F16" s="12">
        <v>3.0</v>
      </c>
      <c r="G16" s="125">
        <v>22.96</v>
      </c>
      <c r="H16" s="12">
        <v>1.83</v>
      </c>
      <c r="I16" s="12">
        <v>2.08</v>
      </c>
      <c r="J16" s="12">
        <v>0.182</v>
      </c>
      <c r="K16" s="12">
        <v>0.086</v>
      </c>
      <c r="L16" s="12">
        <v>0.613</v>
      </c>
      <c r="M16" s="12">
        <v>0.055</v>
      </c>
      <c r="N16" s="12">
        <v>0.548</v>
      </c>
      <c r="O16" s="12">
        <v>0.031</v>
      </c>
      <c r="P16" s="12">
        <v>0.721</v>
      </c>
      <c r="Q16" s="12">
        <v>0.496</v>
      </c>
      <c r="R16" s="12">
        <v>0.589</v>
      </c>
      <c r="S16" s="12">
        <v>0.2</v>
      </c>
      <c r="T16" s="12">
        <v>0.862</v>
      </c>
      <c r="U16" s="12">
        <v>0.059</v>
      </c>
      <c r="V16" s="12">
        <v>0.0031</v>
      </c>
      <c r="W16" s="12">
        <v>0.01</v>
      </c>
      <c r="X16" s="12">
        <v>0.094</v>
      </c>
      <c r="Y16" s="12">
        <v>0.0</v>
      </c>
      <c r="Z16" s="12">
        <v>0.0055</v>
      </c>
      <c r="AA16" s="12">
        <v>0.0202</v>
      </c>
      <c r="AB16" s="12">
        <v>0.1848</v>
      </c>
      <c r="AC16" s="12">
        <v>0.0</v>
      </c>
      <c r="AD16" s="12"/>
      <c r="AE16" s="12"/>
      <c r="AF16" s="12"/>
      <c r="AG16" s="12"/>
      <c r="AH16" s="12"/>
      <c r="AI16" s="12"/>
    </row>
    <row r="17">
      <c r="A17" s="10">
        <v>15.0</v>
      </c>
      <c r="B17" s="10" t="s">
        <v>37</v>
      </c>
      <c r="C17" s="11" t="s">
        <v>23</v>
      </c>
      <c r="D17" s="12">
        <v>242.0</v>
      </c>
      <c r="E17" s="12">
        <v>7482.0</v>
      </c>
      <c r="F17" s="12">
        <v>4.0</v>
      </c>
      <c r="G17" s="12">
        <v>13.7922</v>
      </c>
      <c r="H17" s="12">
        <v>2.1628</v>
      </c>
      <c r="I17" s="12">
        <v>6.5385</v>
      </c>
      <c r="J17" s="12">
        <v>0.256576</v>
      </c>
      <c r="K17" s="12">
        <v>0.112377</v>
      </c>
      <c r="L17" s="12">
        <v>0.854772</v>
      </c>
      <c r="M17" s="12">
        <v>0.049793</v>
      </c>
      <c r="N17" s="12">
        <v>0.469257</v>
      </c>
      <c r="O17" s="12">
        <v>0.054151</v>
      </c>
      <c r="P17" s="12">
        <v>0.6025</v>
      </c>
      <c r="Q17" s="12">
        <v>0.338959</v>
      </c>
      <c r="R17" s="12">
        <v>0.157262</v>
      </c>
      <c r="S17" s="12">
        <v>0.024342</v>
      </c>
      <c r="T17" s="12">
        <v>0.227281</v>
      </c>
      <c r="U17" s="12">
        <v>0.103382</v>
      </c>
      <c r="V17" s="12">
        <v>0.004845</v>
      </c>
      <c r="W17" s="12">
        <v>0.018278</v>
      </c>
      <c r="X17" s="12">
        <v>0.199793</v>
      </c>
      <c r="Y17" s="12">
        <v>0.0</v>
      </c>
      <c r="Z17" s="12">
        <v>0.004883</v>
      </c>
      <c r="AA17" s="12">
        <v>0.018876</v>
      </c>
      <c r="AB17" s="12">
        <v>0.199793</v>
      </c>
      <c r="AC17" s="12">
        <v>0.0</v>
      </c>
      <c r="AD17" s="12"/>
      <c r="AE17" s="12"/>
      <c r="AF17" s="12"/>
      <c r="AG17" s="12"/>
      <c r="AH17" s="12"/>
      <c r="AI17" s="12"/>
    </row>
    <row r="18">
      <c r="A18" s="10">
        <v>16.0</v>
      </c>
      <c r="B18" s="10" t="s">
        <v>38</v>
      </c>
      <c r="C18" s="11" t="s">
        <v>21</v>
      </c>
      <c r="D18" s="12">
        <v>239.0</v>
      </c>
      <c r="E18" s="12">
        <v>516.0</v>
      </c>
      <c r="F18" s="12">
        <v>4.0</v>
      </c>
      <c r="G18" s="12">
        <v>591.2</v>
      </c>
      <c r="H18" s="12">
        <v>1.8058</v>
      </c>
      <c r="I18" s="12">
        <v>11.4101</v>
      </c>
      <c r="J18" s="12">
        <v>0.52839</v>
      </c>
      <c r="K18" s="12">
        <v>0.2956</v>
      </c>
      <c r="L18" s="12">
        <v>1.8445</v>
      </c>
      <c r="M18" s="12">
        <v>0.1596</v>
      </c>
      <c r="N18" s="12">
        <v>0.561065</v>
      </c>
      <c r="O18" s="12">
        <v>0.0678</v>
      </c>
      <c r="P18" s="12">
        <v>0.8981</v>
      </c>
      <c r="Q18" s="12">
        <v>0.4153</v>
      </c>
      <c r="R18" s="12">
        <v>0.1259</v>
      </c>
      <c r="S18" s="12">
        <v>0.04016</v>
      </c>
      <c r="T18" s="12">
        <v>0.1899</v>
      </c>
      <c r="U18" s="12">
        <v>0.00174</v>
      </c>
      <c r="V18" s="12">
        <v>0.034</v>
      </c>
      <c r="W18" s="12">
        <v>0.01016</v>
      </c>
      <c r="X18" s="12">
        <v>0.08498</v>
      </c>
      <c r="Y18" s="12">
        <v>0.0</v>
      </c>
      <c r="Z18" s="12">
        <v>0.00576</v>
      </c>
      <c r="AA18" s="12">
        <v>0.0322</v>
      </c>
      <c r="AB18" s="12">
        <v>0.36277</v>
      </c>
      <c r="AC18" s="12">
        <v>0.0</v>
      </c>
      <c r="AD18" s="12"/>
      <c r="AE18" s="12"/>
      <c r="AF18" s="12"/>
      <c r="AG18" s="12"/>
      <c r="AH18" s="12"/>
      <c r="AI18" s="12"/>
    </row>
    <row r="19">
      <c r="A19" s="10">
        <v>17.0</v>
      </c>
      <c r="B19" s="10" t="s">
        <v>39</v>
      </c>
      <c r="C19" s="11" t="s">
        <v>21</v>
      </c>
      <c r="D19" s="12">
        <v>89.0</v>
      </c>
      <c r="E19" s="12">
        <v>2586.0</v>
      </c>
      <c r="F19" s="12">
        <v>3.0</v>
      </c>
      <c r="G19" s="12">
        <v>19.1098</v>
      </c>
      <c r="H19" s="12">
        <v>1.79903</v>
      </c>
      <c r="I19" s="12">
        <v>11.2513</v>
      </c>
      <c r="J19" s="126">
        <v>0.66</v>
      </c>
      <c r="K19" s="12">
        <v>0.209601</v>
      </c>
      <c r="L19" s="125">
        <v>1.5</v>
      </c>
      <c r="M19" s="12">
        <v>0.3864</v>
      </c>
      <c r="N19" s="12">
        <v>0.562782</v>
      </c>
      <c r="O19" s="12">
        <v>0.066753</v>
      </c>
      <c r="P19" s="12">
        <v>0.8</v>
      </c>
      <c r="Q19" s="12">
        <v>0.497175</v>
      </c>
      <c r="R19" s="12">
        <v>0.143145</v>
      </c>
      <c r="S19" s="12">
        <v>0.032964</v>
      </c>
      <c r="T19" s="12">
        <v>0.211288</v>
      </c>
      <c r="U19" s="12">
        <v>0.0825</v>
      </c>
      <c r="V19" s="12">
        <v>0.009184</v>
      </c>
      <c r="W19" s="12">
        <v>0.025435</v>
      </c>
      <c r="X19" s="12">
        <v>0.139366</v>
      </c>
      <c r="Y19" s="12">
        <v>0.0</v>
      </c>
      <c r="Z19" s="12">
        <v>0.009214</v>
      </c>
      <c r="AA19" s="12">
        <v>0.029182</v>
      </c>
      <c r="AB19" s="12">
        <v>0.186107</v>
      </c>
      <c r="AC19" s="12">
        <v>0.0</v>
      </c>
      <c r="AD19" s="12"/>
      <c r="AE19" s="12"/>
      <c r="AF19" s="12"/>
      <c r="AG19" s="12"/>
      <c r="AH19" s="12"/>
      <c r="AI19" s="12"/>
    </row>
    <row r="20">
      <c r="A20" s="10">
        <v>18.0</v>
      </c>
      <c r="B20" s="10" t="s">
        <v>40</v>
      </c>
      <c r="C20" s="11" t="s">
        <v>23</v>
      </c>
      <c r="D20" s="12">
        <v>424.0</v>
      </c>
      <c r="E20" s="12">
        <v>13239.0</v>
      </c>
      <c r="F20" s="12">
        <v>3.0</v>
      </c>
      <c r="G20" s="12">
        <v>27.6349</v>
      </c>
      <c r="H20" s="12">
        <v>2.0025</v>
      </c>
      <c r="I20" s="12">
        <v>8.3639</v>
      </c>
      <c r="J20" s="126">
        <v>0.147631</v>
      </c>
      <c r="K20" s="126">
        <v>0.084318</v>
      </c>
      <c r="L20" s="12">
        <v>0.51773</v>
      </c>
      <c r="M20" s="126">
        <v>0.007092</v>
      </c>
      <c r="N20" s="126">
        <v>0.504188</v>
      </c>
      <c r="O20" s="12">
        <v>0.049341</v>
      </c>
      <c r="P20" s="12">
        <v>0.674641</v>
      </c>
      <c r="Q20" s="12">
        <v>0.367188</v>
      </c>
      <c r="R20" s="12">
        <v>0.124826</v>
      </c>
      <c r="S20" s="12">
        <v>0.024095</v>
      </c>
      <c r="T20" s="12">
        <v>0.200517</v>
      </c>
      <c r="U20" s="12">
        <v>0.047799</v>
      </c>
      <c r="V20" s="12">
        <v>0.002376</v>
      </c>
      <c r="W20" s="12">
        <v>0.008475</v>
      </c>
      <c r="X20" s="12">
        <v>0.082547</v>
      </c>
      <c r="Y20" s="12">
        <v>0.0</v>
      </c>
      <c r="Z20" s="12">
        <v>0.00326</v>
      </c>
      <c r="AA20" s="12">
        <v>0.019485</v>
      </c>
      <c r="AB20" s="12">
        <v>0.209718</v>
      </c>
      <c r="AC20" s="12">
        <v>0.0</v>
      </c>
      <c r="AD20" s="12"/>
      <c r="AE20" s="12"/>
      <c r="AF20" s="12"/>
      <c r="AG20" s="12"/>
      <c r="AH20" s="12"/>
      <c r="AI20" s="12"/>
    </row>
    <row r="21">
      <c r="A21" s="10">
        <v>19.0</v>
      </c>
      <c r="B21" s="10" t="s">
        <v>41</v>
      </c>
      <c r="C21" s="11" t="s">
        <v>21</v>
      </c>
      <c r="D21" s="12">
        <v>90.0</v>
      </c>
      <c r="E21" s="12">
        <v>2002.0</v>
      </c>
      <c r="F21" s="12">
        <v>3.0</v>
      </c>
      <c r="G21" s="12">
        <v>4.98</v>
      </c>
      <c r="H21" s="12">
        <v>1.5041</v>
      </c>
      <c r="I21" s="12">
        <v>1.7418</v>
      </c>
      <c r="J21" s="12">
        <v>0.4999</v>
      </c>
      <c r="K21" s="12">
        <v>0.1655</v>
      </c>
      <c r="L21" s="12">
        <v>0.9775</v>
      </c>
      <c r="M21" s="12">
        <v>0.236</v>
      </c>
      <c r="N21" s="12">
        <v>0.0923</v>
      </c>
      <c r="O21" s="12">
        <v>0.0234</v>
      </c>
      <c r="P21" s="12">
        <v>0.1391</v>
      </c>
      <c r="Q21" s="12">
        <v>0.0487</v>
      </c>
      <c r="R21" s="12">
        <v>0.5867</v>
      </c>
      <c r="S21" s="12">
        <v>0.0831</v>
      </c>
      <c r="T21" s="12">
        <v>0.8749</v>
      </c>
      <c r="U21" s="12">
        <v>0.2617</v>
      </c>
      <c r="V21" s="12">
        <v>0.0057</v>
      </c>
      <c r="W21" s="12">
        <v>0.0096</v>
      </c>
      <c r="X21" s="12">
        <v>0.0552</v>
      </c>
      <c r="Y21" s="12">
        <v>0.0</v>
      </c>
      <c r="Z21" s="12">
        <v>0.006</v>
      </c>
      <c r="AA21" s="12">
        <v>0.02</v>
      </c>
      <c r="AB21" s="12">
        <v>0.1575</v>
      </c>
      <c r="AC21" s="12">
        <v>0.0</v>
      </c>
      <c r="AD21" s="12"/>
      <c r="AE21" s="12"/>
      <c r="AF21" s="12"/>
      <c r="AG21" s="12"/>
      <c r="AH21" s="12"/>
      <c r="AI21" s="12"/>
    </row>
    <row r="22">
      <c r="A22" s="10">
        <v>20.0</v>
      </c>
      <c r="B22" s="10" t="s">
        <v>42</v>
      </c>
      <c r="C22" s="11" t="s">
        <v>23</v>
      </c>
      <c r="D22" s="127">
        <v>306.0</v>
      </c>
      <c r="E22" s="127">
        <v>10318.0</v>
      </c>
      <c r="F22" s="127">
        <v>5.0</v>
      </c>
      <c r="G22" s="127">
        <v>12.4396</v>
      </c>
      <c r="H22" s="128">
        <v>2.0447</v>
      </c>
      <c r="I22" s="127">
        <v>3.4826</v>
      </c>
      <c r="J22" s="127">
        <v>0.221108</v>
      </c>
      <c r="K22" s="127">
        <v>0.117194</v>
      </c>
      <c r="L22" s="129">
        <v>0.793443</v>
      </c>
      <c r="M22" s="127">
        <v>0.019672</v>
      </c>
      <c r="N22" s="127">
        <v>0.492948</v>
      </c>
      <c r="O22" s="127">
        <v>0.04113</v>
      </c>
      <c r="P22" s="127">
        <v>0.623722</v>
      </c>
      <c r="Q22" s="127">
        <v>0.272565</v>
      </c>
      <c r="R22" s="127">
        <v>0.29541</v>
      </c>
      <c r="S22" s="127">
        <v>0.044448</v>
      </c>
      <c r="T22" s="127">
        <v>0.403377</v>
      </c>
      <c r="U22" s="127">
        <v>0.112327</v>
      </c>
      <c r="V22" s="127">
        <v>0.003437</v>
      </c>
      <c r="W22" s="127">
        <v>0.010183</v>
      </c>
      <c r="X22" s="127">
        <v>0.076305</v>
      </c>
      <c r="Y22" s="127">
        <v>0.0</v>
      </c>
      <c r="Z22" s="127">
        <v>0.003488</v>
      </c>
      <c r="AA22" s="129">
        <v>0.012121</v>
      </c>
      <c r="AB22" s="127">
        <v>0.101498</v>
      </c>
      <c r="AC22" s="127">
        <v>0.0</v>
      </c>
      <c r="AD22" s="127"/>
      <c r="AE22" s="127"/>
      <c r="AF22" s="127"/>
      <c r="AG22" s="127"/>
      <c r="AH22" s="127"/>
      <c r="AI22" s="127"/>
    </row>
    <row r="23">
      <c r="A23" s="10">
        <v>21.0</v>
      </c>
      <c r="B23" s="10" t="s">
        <v>43</v>
      </c>
      <c r="C23" s="11" t="s">
        <v>23</v>
      </c>
      <c r="D23" s="12">
        <v>50.0</v>
      </c>
      <c r="E23" s="12">
        <v>1190.0</v>
      </c>
      <c r="F23" s="12">
        <v>3.0</v>
      </c>
      <c r="G23" s="12">
        <v>20.503</v>
      </c>
      <c r="H23" s="12">
        <v>1.8539</v>
      </c>
      <c r="I23" s="12">
        <v>10.3795</v>
      </c>
      <c r="J23" s="12">
        <v>0.9714</v>
      </c>
      <c r="K23" s="12">
        <v>0.144</v>
      </c>
      <c r="L23" s="12">
        <v>1.3469</v>
      </c>
      <c r="M23" s="12">
        <v>0.2857</v>
      </c>
      <c r="N23" s="12">
        <v>0.546</v>
      </c>
      <c r="O23" s="12">
        <v>0.0624</v>
      </c>
      <c r="P23" s="12">
        <v>0.7538</v>
      </c>
      <c r="Q23" s="12">
        <v>0.4757</v>
      </c>
      <c r="R23" s="12">
        <v>0.0981</v>
      </c>
      <c r="S23" s="12">
        <v>0.0147</v>
      </c>
      <c r="T23" s="12">
        <v>0.1395</v>
      </c>
      <c r="U23" s="12">
        <v>0.0872</v>
      </c>
      <c r="V23" s="12">
        <v>0.01779</v>
      </c>
      <c r="W23" s="12">
        <v>0.0731</v>
      </c>
      <c r="X23" s="12">
        <v>0.5085</v>
      </c>
      <c r="Y23" s="12">
        <v>0.0</v>
      </c>
      <c r="Z23" s="12">
        <v>0.0181</v>
      </c>
      <c r="AA23" s="12">
        <v>0.0742</v>
      </c>
      <c r="AB23" s="12">
        <v>0.5085</v>
      </c>
      <c r="AC23" s="12">
        <v>0.0</v>
      </c>
      <c r="AD23" s="12"/>
      <c r="AE23" s="12"/>
      <c r="AF23" s="12"/>
      <c r="AG23" s="12"/>
      <c r="AH23" s="12"/>
      <c r="AI23" s="12"/>
    </row>
    <row r="24">
      <c r="A24" s="10">
        <v>22.0</v>
      </c>
      <c r="B24" s="10" t="s">
        <v>44</v>
      </c>
      <c r="C24" s="11" t="s">
        <v>21</v>
      </c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30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</row>
    <row r="25">
      <c r="A25" s="10">
        <v>23.0</v>
      </c>
      <c r="B25" s="10" t="s">
        <v>45</v>
      </c>
      <c r="C25" s="11" t="s">
        <v>46</v>
      </c>
      <c r="D25" s="12">
        <v>188.0</v>
      </c>
      <c r="E25" s="12">
        <v>8597.0</v>
      </c>
      <c r="F25" s="12">
        <v>4.0</v>
      </c>
      <c r="G25" s="12">
        <v>54.2553</v>
      </c>
      <c r="H25" s="12">
        <v>1.7865</v>
      </c>
      <c r="I25" s="12">
        <v>11.8015</v>
      </c>
      <c r="J25" s="12">
        <v>0.4891</v>
      </c>
      <c r="K25" s="12">
        <v>0.2843</v>
      </c>
      <c r="L25" s="12">
        <v>1.5134</v>
      </c>
      <c r="M25" s="12">
        <v>0.1123</v>
      </c>
      <c r="N25" s="12">
        <v>0.5659</v>
      </c>
      <c r="O25" s="12">
        <v>0.0613</v>
      </c>
      <c r="P25" s="12">
        <v>0.8026</v>
      </c>
      <c r="Q25" s="12">
        <v>0.3576</v>
      </c>
      <c r="R25" s="12">
        <v>0.0908</v>
      </c>
      <c r="S25" s="12">
        <v>0.0227</v>
      </c>
      <c r="T25" s="12">
        <v>0.1473</v>
      </c>
      <c r="U25" s="12">
        <v>0.0284</v>
      </c>
      <c r="V25" s="12">
        <v>0.004228</v>
      </c>
      <c r="W25" s="12">
        <v>0.01029</v>
      </c>
      <c r="X25" s="12">
        <v>0.071808</v>
      </c>
      <c r="Y25" s="12">
        <v>0.0</v>
      </c>
      <c r="Z25" s="12">
        <v>0.005332</v>
      </c>
      <c r="AA25" s="12">
        <v>0.01873</v>
      </c>
      <c r="AB25" s="12">
        <v>0.13862</v>
      </c>
      <c r="AC25" s="12">
        <v>0.0</v>
      </c>
      <c r="AD25" s="12"/>
      <c r="AE25" s="12"/>
      <c r="AF25" s="12"/>
      <c r="AG25" s="12"/>
      <c r="AH25" s="12"/>
      <c r="AI25" s="12"/>
    </row>
    <row r="26">
      <c r="A26" s="10">
        <v>24.0</v>
      </c>
      <c r="B26" s="10" t="s">
        <v>47</v>
      </c>
      <c r="C26" s="11" t="s">
        <v>23</v>
      </c>
      <c r="D26" s="12">
        <v>119.0</v>
      </c>
      <c r="E26" s="12">
        <v>2962.0</v>
      </c>
      <c r="F26" s="12">
        <v>3.0</v>
      </c>
      <c r="G26" s="131">
        <v>11.1634</v>
      </c>
      <c r="H26" s="131">
        <v>1.894</v>
      </c>
      <c r="I26" s="131">
        <v>5.588</v>
      </c>
      <c r="J26" s="131">
        <v>0.421877</v>
      </c>
      <c r="K26" s="131">
        <v>0.159358</v>
      </c>
      <c r="L26" s="131">
        <v>0.915254</v>
      </c>
      <c r="M26" s="131">
        <v>0.084746</v>
      </c>
      <c r="N26" s="131">
        <v>0.532076</v>
      </c>
      <c r="O26" s="131">
        <v>0.046266</v>
      </c>
      <c r="P26" s="131">
        <v>0.637838</v>
      </c>
      <c r="Q26" s="131">
        <v>0.392027</v>
      </c>
      <c r="R26" s="131">
        <v>0.1856</v>
      </c>
      <c r="S26" s="131">
        <v>0.035141</v>
      </c>
      <c r="T26" s="131">
        <v>0.266369</v>
      </c>
      <c r="U26" s="131">
        <v>0.120173</v>
      </c>
      <c r="V26" s="131">
        <v>0.007647</v>
      </c>
      <c r="W26" s="131">
        <v>0.021247</v>
      </c>
      <c r="X26" s="131">
        <v>0.106279</v>
      </c>
      <c r="Y26" s="12">
        <v>0.0</v>
      </c>
      <c r="Z26" s="131">
        <v>0.007932</v>
      </c>
      <c r="AA26" s="131">
        <v>0.023813</v>
      </c>
      <c r="AB26" s="131">
        <v>0.131899</v>
      </c>
      <c r="AC26" s="12">
        <v>0.0</v>
      </c>
      <c r="AD26" s="12"/>
      <c r="AE26" s="12"/>
      <c r="AF26" s="12"/>
      <c r="AG26" s="12"/>
      <c r="AH26" s="12"/>
      <c r="AI26" s="12"/>
    </row>
    <row r="27">
      <c r="A27" s="10">
        <v>25.0</v>
      </c>
      <c r="B27" s="10" t="s">
        <v>48</v>
      </c>
      <c r="C27" s="11" t="s">
        <v>21</v>
      </c>
      <c r="D27" s="127">
        <v>86.0</v>
      </c>
      <c r="E27" s="127">
        <v>2668.0</v>
      </c>
      <c r="F27" s="127">
        <v>2.0</v>
      </c>
      <c r="G27" s="132">
        <v>13.421</v>
      </c>
      <c r="H27" s="132">
        <v>1.635</v>
      </c>
      <c r="I27" s="132">
        <v>6.644</v>
      </c>
      <c r="J27" s="133">
        <v>0.73</v>
      </c>
      <c r="K27" s="134">
        <v>0.2764</v>
      </c>
      <c r="L27" s="134">
        <v>1.8588</v>
      </c>
      <c r="M27" s="135">
        <v>0.2588</v>
      </c>
      <c r="N27" s="134">
        <v>0.6166</v>
      </c>
      <c r="O27" s="134">
        <v>0.0594</v>
      </c>
      <c r="P27" s="134">
        <v>0.9341</v>
      </c>
      <c r="Q27" s="134">
        <v>0.5346</v>
      </c>
      <c r="R27" s="134">
        <v>0.1566</v>
      </c>
      <c r="S27" s="134">
        <v>0.0313</v>
      </c>
      <c r="T27" s="134">
        <v>0.2477</v>
      </c>
      <c r="U27" s="134">
        <v>0.0885</v>
      </c>
      <c r="V27" s="134">
        <v>0.00756</v>
      </c>
      <c r="W27" s="134">
        <v>0.0271</v>
      </c>
      <c r="X27" s="134">
        <v>0.2425</v>
      </c>
      <c r="Y27" s="134">
        <v>0.0</v>
      </c>
      <c r="Z27" s="134">
        <v>0.00847</v>
      </c>
      <c r="AA27" s="134">
        <v>0.0373</v>
      </c>
      <c r="AB27" s="134">
        <v>0.3045</v>
      </c>
      <c r="AC27" s="134">
        <v>0.0</v>
      </c>
      <c r="AD27" s="134"/>
      <c r="AE27" s="134"/>
      <c r="AF27" s="134"/>
      <c r="AG27" s="134"/>
      <c r="AH27" s="134"/>
      <c r="AI27" s="134"/>
    </row>
    <row r="28">
      <c r="A28" s="10">
        <v>26.0</v>
      </c>
      <c r="B28" s="10" t="s">
        <v>49</v>
      </c>
      <c r="C28" s="11" t="s">
        <v>25</v>
      </c>
      <c r="D28" s="68">
        <v>450.0</v>
      </c>
      <c r="E28" s="68">
        <v>10537.0</v>
      </c>
      <c r="F28" s="68">
        <v>7.0</v>
      </c>
      <c r="G28" s="68">
        <v>1301.18</v>
      </c>
      <c r="H28" s="68">
        <v>3.2192</v>
      </c>
      <c r="I28" s="68">
        <v>171.5276</v>
      </c>
      <c r="J28" s="68">
        <v>0.1043</v>
      </c>
      <c r="K28" s="68">
        <v>0.0621</v>
      </c>
      <c r="L28" s="68">
        <v>0.4165</v>
      </c>
      <c r="M28" s="68">
        <v>0.0022</v>
      </c>
      <c r="N28" s="68">
        <v>0.217278</v>
      </c>
      <c r="O28" s="68">
        <v>0.080995</v>
      </c>
      <c r="P28" s="68">
        <v>0.353056</v>
      </c>
      <c r="Q28" s="68">
        <v>0.0</v>
      </c>
      <c r="R28" s="68">
        <v>0.004525</v>
      </c>
      <c r="S28" s="68">
        <v>0.001741</v>
      </c>
      <c r="T28" s="68">
        <v>0.007429</v>
      </c>
      <c r="U28" s="68">
        <v>0.0</v>
      </c>
      <c r="V28" s="68">
        <v>0.003172</v>
      </c>
      <c r="W28" s="68">
        <v>0.014749</v>
      </c>
      <c r="X28" s="68">
        <v>0.220556</v>
      </c>
      <c r="Y28" s="68">
        <v>0.0</v>
      </c>
      <c r="Z28" s="68">
        <v>0.005097</v>
      </c>
      <c r="AA28" s="68">
        <v>0.025487</v>
      </c>
      <c r="AB28" s="68">
        <v>0.238849</v>
      </c>
      <c r="AC28" s="68">
        <v>0.0</v>
      </c>
      <c r="AD28" s="12"/>
      <c r="AE28" s="12"/>
      <c r="AF28" s="12"/>
      <c r="AG28" s="12"/>
      <c r="AH28" s="12"/>
      <c r="AI28" s="12"/>
    </row>
    <row r="29">
      <c r="A29" s="10">
        <v>27.0</v>
      </c>
      <c r="B29" s="10" t="s">
        <v>50</v>
      </c>
      <c r="C29" s="11" t="s">
        <v>21</v>
      </c>
      <c r="D29" s="12">
        <v>349.0</v>
      </c>
      <c r="E29" s="12">
        <v>15042.0</v>
      </c>
      <c r="F29" s="12">
        <v>6.0</v>
      </c>
      <c r="G29" s="12">
        <v>57.49</v>
      </c>
      <c r="H29" s="12">
        <v>2.27</v>
      </c>
      <c r="I29" s="12">
        <v>13.9</v>
      </c>
      <c r="J29" s="12">
        <v>0.1928</v>
      </c>
      <c r="K29" s="12">
        <v>0.1147</v>
      </c>
      <c r="L29" s="12">
        <v>0.6034</v>
      </c>
      <c r="M29" s="12">
        <v>0.0172</v>
      </c>
      <c r="N29" s="12">
        <v>0.3496</v>
      </c>
      <c r="O29" s="12">
        <v>0.1228</v>
      </c>
      <c r="P29" s="114">
        <v>0.6182</v>
      </c>
      <c r="Q29" s="12">
        <v>0.0971</v>
      </c>
      <c r="R29" s="12">
        <v>0.0594</v>
      </c>
      <c r="S29" s="12">
        <v>0.0223</v>
      </c>
      <c r="T29" s="12">
        <v>0.1016</v>
      </c>
      <c r="U29" s="12">
        <v>0.0012</v>
      </c>
      <c r="V29" s="136">
        <v>0.002695</v>
      </c>
      <c r="W29" s="126">
        <v>0.010822</v>
      </c>
      <c r="X29" s="126">
        <v>0.112171</v>
      </c>
      <c r="Y29" s="12">
        <v>0.0</v>
      </c>
      <c r="Z29" s="14">
        <v>0.002859</v>
      </c>
      <c r="AA29" s="14">
        <v>0.015596</v>
      </c>
      <c r="AB29" s="14">
        <v>0.187823</v>
      </c>
      <c r="AC29" s="12">
        <v>0.0</v>
      </c>
      <c r="AD29" s="12"/>
      <c r="AE29" s="12"/>
      <c r="AF29" s="12"/>
      <c r="AG29" s="12"/>
      <c r="AH29" s="12"/>
      <c r="AI29" s="12"/>
    </row>
    <row r="30">
      <c r="A30" s="10">
        <v>28.0</v>
      </c>
      <c r="B30" s="10" t="s">
        <v>51</v>
      </c>
      <c r="C30" s="11" t="s">
        <v>23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</row>
    <row r="31">
      <c r="A31" s="10">
        <v>29.0</v>
      </c>
      <c r="B31" s="10" t="s">
        <v>52</v>
      </c>
      <c r="C31" s="11" t="s">
        <v>21</v>
      </c>
      <c r="D31" s="12">
        <v>115.0</v>
      </c>
      <c r="E31" s="12">
        <v>7222.0</v>
      </c>
      <c r="F31" s="12">
        <v>2.0</v>
      </c>
      <c r="G31" s="12">
        <v>51.7914</v>
      </c>
      <c r="H31" s="12">
        <v>1.4238</v>
      </c>
      <c r="I31" s="12">
        <v>5.1333</v>
      </c>
      <c r="J31" s="12">
        <v>1.1017</v>
      </c>
      <c r="K31" s="126">
        <v>0.3918</v>
      </c>
      <c r="L31" s="12">
        <v>1.8684</v>
      </c>
      <c r="M31" s="12">
        <v>0.2368</v>
      </c>
      <c r="N31" s="12">
        <v>0.6845</v>
      </c>
      <c r="O31" s="12">
        <v>0.1195</v>
      </c>
      <c r="P31" s="12">
        <v>0.9181</v>
      </c>
      <c r="Q31" s="12">
        <v>0.0</v>
      </c>
      <c r="R31" s="12">
        <v>0.0103</v>
      </c>
      <c r="S31" s="12">
        <v>0.0347</v>
      </c>
      <c r="T31" s="12">
        <v>0.221</v>
      </c>
      <c r="U31" s="12">
        <v>0.0</v>
      </c>
      <c r="V31" s="12">
        <v>0.004</v>
      </c>
      <c r="W31" s="12">
        <v>0.0056</v>
      </c>
      <c r="X31" s="12">
        <v>0.0344</v>
      </c>
      <c r="Y31" s="12">
        <v>0.0</v>
      </c>
      <c r="Z31" s="12">
        <v>0.004</v>
      </c>
      <c r="AA31" s="12">
        <v>0.0056</v>
      </c>
      <c r="AB31" s="12">
        <v>0.0344</v>
      </c>
      <c r="AC31" s="12">
        <v>0.0</v>
      </c>
      <c r="AD31" s="12"/>
      <c r="AE31" s="12"/>
      <c r="AF31" s="12"/>
      <c r="AG31" s="12"/>
      <c r="AH31" s="12"/>
      <c r="AI31" s="12"/>
    </row>
    <row r="32">
      <c r="A32" s="10">
        <v>30.0</v>
      </c>
      <c r="B32" s="10" t="s">
        <v>53</v>
      </c>
      <c r="C32" s="11" t="s">
        <v>21</v>
      </c>
      <c r="D32" s="12"/>
      <c r="E32" s="12"/>
      <c r="F32" s="12"/>
      <c r="G32" s="12"/>
      <c r="H32" s="12"/>
      <c r="I32" s="12"/>
      <c r="J32" s="130"/>
      <c r="K32" s="130"/>
      <c r="L32" s="12"/>
      <c r="M32" s="130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</row>
    <row r="33">
      <c r="A33" s="10">
        <v>31.0</v>
      </c>
      <c r="B33" s="10" t="s">
        <v>54</v>
      </c>
      <c r="C33" s="11" t="s">
        <v>25</v>
      </c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6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</row>
    <row r="34">
      <c r="A34" s="10">
        <v>32.0</v>
      </c>
      <c r="B34" s="10" t="s">
        <v>55</v>
      </c>
      <c r="C34" s="11" t="s">
        <v>21</v>
      </c>
      <c r="D34" s="12">
        <v>133.0</v>
      </c>
      <c r="E34" s="12">
        <v>4301.0</v>
      </c>
      <c r="F34" s="12">
        <v>2.0</v>
      </c>
      <c r="G34" s="12">
        <v>11.875</v>
      </c>
      <c r="H34" s="12">
        <v>1.51</v>
      </c>
      <c r="I34" s="12">
        <v>3.3403</v>
      </c>
      <c r="J34" s="12">
        <v>0.489975</v>
      </c>
      <c r="K34" s="12">
        <v>0.173602</v>
      </c>
      <c r="L34" s="12">
        <v>1.0</v>
      </c>
      <c r="M34" s="12">
        <v>0.189394</v>
      </c>
      <c r="N34" s="12">
        <v>0.671895</v>
      </c>
      <c r="O34" s="12">
        <v>0.085301</v>
      </c>
      <c r="P34" s="12">
        <v>1.0</v>
      </c>
      <c r="Q34" s="12">
        <v>0.552301</v>
      </c>
      <c r="R34" s="12">
        <v>0.331955</v>
      </c>
      <c r="S34" s="12">
        <v>0.094481</v>
      </c>
      <c r="T34" s="12">
        <v>0.553727</v>
      </c>
      <c r="U34" s="12">
        <v>0.135868</v>
      </c>
      <c r="V34" s="12">
        <v>0.003893</v>
      </c>
      <c r="W34" s="12">
        <v>0.005923</v>
      </c>
      <c r="X34" s="12">
        <v>0.035213</v>
      </c>
      <c r="Y34" s="12">
        <v>0.0</v>
      </c>
      <c r="Z34" s="12">
        <v>0.010428</v>
      </c>
      <c r="AA34" s="12">
        <v>0.057163</v>
      </c>
      <c r="AB34" s="12">
        <v>0.614116</v>
      </c>
      <c r="AC34" s="12">
        <v>0.0</v>
      </c>
      <c r="AD34" s="12"/>
      <c r="AE34" s="12"/>
      <c r="AF34" s="12"/>
      <c r="AG34" s="12"/>
      <c r="AH34" s="12"/>
      <c r="AI34" s="12"/>
    </row>
    <row r="35">
      <c r="A35" s="10">
        <v>33.0</v>
      </c>
      <c r="B35" s="10" t="s">
        <v>56</v>
      </c>
      <c r="C35" s="11" t="s">
        <v>21</v>
      </c>
      <c r="D35" s="74">
        <v>131.0</v>
      </c>
      <c r="E35" s="74">
        <v>4786.0</v>
      </c>
      <c r="F35" s="74">
        <v>3.0</v>
      </c>
      <c r="G35" s="137">
        <v>902.5</v>
      </c>
      <c r="H35" s="137">
        <v>1.8</v>
      </c>
      <c r="I35" s="12">
        <v>154.0</v>
      </c>
      <c r="J35" s="12">
        <v>0.562</v>
      </c>
      <c r="K35" s="12">
        <v>0.274357</v>
      </c>
      <c r="L35" s="12">
        <v>1.484615</v>
      </c>
      <c r="M35" s="12">
        <v>0.169231</v>
      </c>
      <c r="N35" s="12">
        <v>0.569767</v>
      </c>
      <c r="O35" s="12">
        <v>0.090289</v>
      </c>
      <c r="P35" s="12">
        <v>0.86667</v>
      </c>
      <c r="Q35" s="12">
        <v>0.439189</v>
      </c>
      <c r="R35" s="12">
        <v>0.008753</v>
      </c>
      <c r="S35" s="12">
        <v>0.003539</v>
      </c>
      <c r="T35" s="12">
        <v>0.011836</v>
      </c>
      <c r="U35" s="12">
        <v>0.001545</v>
      </c>
      <c r="V35" s="12">
        <v>0.006175</v>
      </c>
      <c r="W35" s="12">
        <v>0.014887</v>
      </c>
      <c r="X35" s="12">
        <v>0.091523</v>
      </c>
      <c r="Y35" s="12">
        <v>0.0</v>
      </c>
      <c r="Z35" s="12">
        <v>0.010703</v>
      </c>
      <c r="AA35" s="12">
        <v>0.056659</v>
      </c>
      <c r="AB35" s="12">
        <v>0.535276</v>
      </c>
      <c r="AC35" s="12">
        <v>0.0</v>
      </c>
      <c r="AD35" s="12"/>
      <c r="AE35" s="12"/>
      <c r="AF35" s="12"/>
      <c r="AG35" s="12"/>
      <c r="AH35" s="12"/>
      <c r="AI35" s="12"/>
    </row>
    <row r="36">
      <c r="A36" s="10">
        <v>34.0</v>
      </c>
      <c r="B36" s="10" t="s">
        <v>57</v>
      </c>
      <c r="C36" s="11" t="s">
        <v>21</v>
      </c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</row>
    <row r="37">
      <c r="A37" s="10">
        <v>35.0</v>
      </c>
      <c r="B37" s="10" t="s">
        <v>58</v>
      </c>
      <c r="C37" s="11" t="s">
        <v>46</v>
      </c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</row>
    <row r="38">
      <c r="A38" s="10">
        <v>36.0</v>
      </c>
      <c r="B38" s="10" t="s">
        <v>59</v>
      </c>
      <c r="C38" s="11" t="s">
        <v>25</v>
      </c>
      <c r="D38" s="12">
        <v>146.0</v>
      </c>
      <c r="E38" s="12">
        <v>3928.0</v>
      </c>
      <c r="F38" s="12">
        <v>5.0</v>
      </c>
      <c r="G38" s="134">
        <v>249.51</v>
      </c>
      <c r="H38" s="12">
        <v>2.0388</v>
      </c>
      <c r="I38" s="134">
        <v>62.14</v>
      </c>
      <c r="J38" s="134">
        <v>0.37109</v>
      </c>
      <c r="K38" s="134">
        <v>0.25976</v>
      </c>
      <c r="L38" s="134">
        <v>1.3931</v>
      </c>
      <c r="M38" s="138">
        <v>0.04138</v>
      </c>
      <c r="N38" s="134">
        <v>0.49588</v>
      </c>
      <c r="O38" s="134">
        <v>0.07555</v>
      </c>
      <c r="P38" s="134">
        <v>0.75521</v>
      </c>
      <c r="Q38" s="134">
        <v>0.29293</v>
      </c>
      <c r="R38" s="134">
        <v>0.01804</v>
      </c>
      <c r="S38" s="138">
        <v>0.00572</v>
      </c>
      <c r="T38" s="138">
        <v>0.02896</v>
      </c>
      <c r="U38" s="134">
        <v>0.00467</v>
      </c>
      <c r="V38" s="134">
        <v>0.00736</v>
      </c>
      <c r="W38" s="134">
        <v>0.02741</v>
      </c>
      <c r="X38" s="12">
        <v>0.24855</v>
      </c>
      <c r="Y38" s="12">
        <v>0.0</v>
      </c>
      <c r="Z38" s="134">
        <v>0.00899</v>
      </c>
      <c r="AA38" s="138">
        <v>0.0382</v>
      </c>
      <c r="AB38" s="138">
        <v>0.28372</v>
      </c>
      <c r="AC38" s="12">
        <v>0.0</v>
      </c>
      <c r="AD38" s="12"/>
      <c r="AE38" s="12"/>
      <c r="AF38" s="12"/>
      <c r="AG38" s="12"/>
      <c r="AH38" s="12"/>
      <c r="AI38" s="12"/>
    </row>
    <row r="39">
      <c r="A39" s="10">
        <v>37.0</v>
      </c>
      <c r="B39" s="10" t="s">
        <v>60</v>
      </c>
      <c r="C39" s="11" t="s">
        <v>25</v>
      </c>
      <c r="D39" s="12">
        <v>314.0</v>
      </c>
      <c r="E39" s="12">
        <v>8063.0</v>
      </c>
      <c r="F39" s="12">
        <v>4.0</v>
      </c>
      <c r="G39" s="12">
        <v>1168.5</v>
      </c>
      <c r="H39" s="12">
        <v>2.0192</v>
      </c>
      <c r="I39" s="12">
        <v>172.25</v>
      </c>
      <c r="J39" s="12">
        <v>0.164078</v>
      </c>
      <c r="K39" s="12">
        <v>0.160077</v>
      </c>
      <c r="L39" s="12">
        <v>1.8402555</v>
      </c>
      <c r="M39" s="139">
        <v>0.009584</v>
      </c>
      <c r="N39" s="12">
        <v>0.498895</v>
      </c>
      <c r="O39" s="12">
        <v>0.049807</v>
      </c>
      <c r="P39" s="139">
        <v>0.9147152</v>
      </c>
      <c r="Q39" s="140">
        <f>0.332979</f>
        <v>0.332979</v>
      </c>
      <c r="R39" s="12">
        <v>0.008598</v>
      </c>
      <c r="S39" s="12">
        <v>0.003256</v>
      </c>
      <c r="T39" s="12">
        <v>0.01256</v>
      </c>
      <c r="U39" s="12">
        <v>0.00149</v>
      </c>
      <c r="V39" s="12">
        <v>0.0032569</v>
      </c>
      <c r="W39" s="12">
        <v>0.03149</v>
      </c>
      <c r="X39" s="12">
        <v>0.5277</v>
      </c>
      <c r="Y39" s="12">
        <v>0.0</v>
      </c>
      <c r="Z39" s="12">
        <v>0.004321</v>
      </c>
      <c r="AA39" s="12">
        <v>0.03565</v>
      </c>
      <c r="AB39" s="12">
        <v>0.53826</v>
      </c>
      <c r="AC39" s="12">
        <v>0.0</v>
      </c>
      <c r="AD39" s="140"/>
      <c r="AE39" s="140"/>
      <c r="AF39" s="140"/>
      <c r="AG39" s="140"/>
      <c r="AH39" s="140"/>
      <c r="AI39" s="140"/>
    </row>
    <row r="40">
      <c r="A40" s="10">
        <v>38.0</v>
      </c>
      <c r="B40" s="10" t="s">
        <v>42</v>
      </c>
      <c r="C40" s="11" t="s">
        <v>25</v>
      </c>
      <c r="D40" s="12">
        <v>249.0</v>
      </c>
      <c r="E40" s="12">
        <v>9270.0</v>
      </c>
      <c r="F40" s="12">
        <v>5.0</v>
      </c>
      <c r="G40" s="140"/>
      <c r="H40" s="140"/>
      <c r="I40" s="140"/>
      <c r="J40" s="12">
        <v>0.300233</v>
      </c>
      <c r="K40" s="12">
        <v>0.142488</v>
      </c>
      <c r="L40" s="114">
        <v>1.03629</v>
      </c>
      <c r="M40" s="12">
        <v>0.072581</v>
      </c>
      <c r="N40" s="12">
        <v>0.438466</v>
      </c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  <c r="AG40" s="140"/>
      <c r="AH40" s="140"/>
      <c r="AI40" s="140"/>
    </row>
    <row r="41">
      <c r="A41" s="10">
        <v>39.0</v>
      </c>
      <c r="B41" s="10" t="s">
        <v>53</v>
      </c>
      <c r="C41" s="11" t="s">
        <v>25</v>
      </c>
      <c r="D41" s="12">
        <v>274.0</v>
      </c>
      <c r="E41" s="12">
        <v>7571.0</v>
      </c>
      <c r="F41" s="12">
        <v>4.0</v>
      </c>
      <c r="G41" s="12">
        <v>877.8</v>
      </c>
      <c r="H41" s="12">
        <v>2.172</v>
      </c>
      <c r="I41" s="12">
        <v>45.768</v>
      </c>
      <c r="J41" s="12">
        <v>0.2024</v>
      </c>
      <c r="K41" s="12">
        <v>0.16</v>
      </c>
      <c r="L41" s="114">
        <v>1.4689</v>
      </c>
      <c r="M41" s="12">
        <v>0.0366</v>
      </c>
      <c r="N41" s="12">
        <v>0.4683</v>
      </c>
      <c r="O41" s="12">
        <v>0.061</v>
      </c>
      <c r="P41" s="12">
        <v>0.337</v>
      </c>
      <c r="Q41" s="12">
        <v>0.7913</v>
      </c>
      <c r="R41" s="12">
        <v>0.0267</v>
      </c>
      <c r="S41" s="12">
        <v>0.0076</v>
      </c>
      <c r="T41" s="114">
        <v>0.0426</v>
      </c>
      <c r="U41" s="12">
        <v>0.0016</v>
      </c>
      <c r="V41" s="12">
        <v>0.0043</v>
      </c>
      <c r="W41" s="12">
        <v>0.0237</v>
      </c>
      <c r="X41" s="12">
        <v>0.3134</v>
      </c>
      <c r="Y41" s="12">
        <v>0.0</v>
      </c>
      <c r="Z41" s="12">
        <v>0.0062</v>
      </c>
      <c r="AA41" s="12">
        <v>0.0482</v>
      </c>
      <c r="AB41" s="12">
        <v>0.6939</v>
      </c>
      <c r="AC41" s="12">
        <v>0.0</v>
      </c>
      <c r="AD41" s="12"/>
      <c r="AE41" s="12"/>
      <c r="AF41" s="12"/>
      <c r="AG41" s="12"/>
      <c r="AH41" s="12"/>
      <c r="AI41" s="12"/>
    </row>
    <row r="42">
      <c r="A42" s="10">
        <v>40.0</v>
      </c>
      <c r="B42" s="10" t="s">
        <v>20</v>
      </c>
      <c r="C42" s="11" t="s">
        <v>46</v>
      </c>
      <c r="D42" s="86">
        <v>309.0</v>
      </c>
      <c r="E42" s="86">
        <v>10545.0</v>
      </c>
      <c r="F42" s="86">
        <v>6.0</v>
      </c>
      <c r="G42" s="86">
        <v>91.0</v>
      </c>
      <c r="H42" s="86">
        <v>2.45</v>
      </c>
      <c r="I42" s="86">
        <v>24.23</v>
      </c>
      <c r="J42" s="86">
        <v>0.22</v>
      </c>
      <c r="K42" s="86">
        <v>0.14</v>
      </c>
      <c r="L42" s="86">
        <v>0.75</v>
      </c>
      <c r="M42" s="86">
        <v>0.04</v>
      </c>
      <c r="N42" s="86">
        <v>0.42</v>
      </c>
      <c r="O42" s="86">
        <v>0.059</v>
      </c>
      <c r="P42" s="86">
        <v>0.568</v>
      </c>
      <c r="Q42" s="86">
        <v>0.288</v>
      </c>
      <c r="R42" s="86">
        <v>0.0455</v>
      </c>
      <c r="S42" s="86">
        <v>0.0131</v>
      </c>
      <c r="T42" s="86">
        <v>0.07</v>
      </c>
      <c r="U42" s="86">
        <v>0.018</v>
      </c>
      <c r="V42" s="86">
        <v>0.0047</v>
      </c>
      <c r="W42" s="86">
        <v>0.0154</v>
      </c>
      <c r="X42" s="86">
        <v>0.191</v>
      </c>
      <c r="Y42" s="86">
        <v>0.0</v>
      </c>
      <c r="Z42" s="86">
        <v>0.0055</v>
      </c>
      <c r="AA42" s="86">
        <v>0.021</v>
      </c>
      <c r="AB42" s="86">
        <v>0.21</v>
      </c>
      <c r="AC42" s="86">
        <v>0.0</v>
      </c>
      <c r="AD42" s="106"/>
      <c r="AE42" s="106"/>
      <c r="AF42" s="106"/>
      <c r="AG42" s="106"/>
      <c r="AH42" s="106"/>
      <c r="AI42" s="106"/>
    </row>
    <row r="43">
      <c r="A43" s="10">
        <v>41.0</v>
      </c>
      <c r="B43" s="10" t="s">
        <v>22</v>
      </c>
      <c r="C43" s="11" t="s">
        <v>21</v>
      </c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</row>
    <row r="44">
      <c r="A44" s="10">
        <v>42.0</v>
      </c>
      <c r="B44" s="10" t="s">
        <v>31</v>
      </c>
      <c r="C44" s="10" t="s">
        <v>46</v>
      </c>
      <c r="D44" s="86">
        <v>620.0</v>
      </c>
      <c r="E44" s="86">
        <v>9629.0</v>
      </c>
      <c r="F44" s="86">
        <v>9.0</v>
      </c>
      <c r="G44" s="86">
        <v>187.77</v>
      </c>
      <c r="H44" s="86">
        <v>3.2756</v>
      </c>
      <c r="I44" s="86">
        <v>19.1323</v>
      </c>
      <c r="J44" s="86">
        <v>0.05018</v>
      </c>
      <c r="K44" s="86">
        <v>0.02971</v>
      </c>
      <c r="L44" s="86">
        <v>0.20355</v>
      </c>
      <c r="M44" s="86">
        <v>0.00323</v>
      </c>
      <c r="N44" s="86">
        <v>0.31383</v>
      </c>
      <c r="O44" s="86">
        <v>0.04741</v>
      </c>
      <c r="P44" s="86">
        <v>0.44564</v>
      </c>
      <c r="Q44" s="86">
        <v>0.15537</v>
      </c>
      <c r="R44" s="86">
        <v>0.05878</v>
      </c>
      <c r="S44" s="86">
        <v>0.01546</v>
      </c>
      <c r="T44" s="86">
        <v>0.08343</v>
      </c>
      <c r="U44" s="86">
        <v>0.00979</v>
      </c>
      <c r="V44" s="86">
        <v>0.00368</v>
      </c>
      <c r="W44" s="86">
        <v>0.01289</v>
      </c>
      <c r="X44" s="86">
        <v>0.14228</v>
      </c>
      <c r="Y44" s="86">
        <v>0.0</v>
      </c>
      <c r="Z44" s="86">
        <v>0.00571</v>
      </c>
      <c r="AA44" s="86">
        <v>0.02035</v>
      </c>
      <c r="AB44" s="86">
        <v>0.21296</v>
      </c>
      <c r="AC44" s="86">
        <v>0.0</v>
      </c>
      <c r="AD44" s="106"/>
      <c r="AE44" s="106"/>
      <c r="AF44" s="106"/>
      <c r="AG44" s="106"/>
      <c r="AH44" s="106"/>
      <c r="AI44" s="106"/>
    </row>
    <row r="45">
      <c r="A45" s="10">
        <v>43.0</v>
      </c>
      <c r="B45" s="10" t="s">
        <v>55</v>
      </c>
      <c r="C45" s="11" t="s">
        <v>25</v>
      </c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</row>
    <row r="46">
      <c r="A46" s="10">
        <v>44.0</v>
      </c>
      <c r="B46" s="10" t="s">
        <v>34</v>
      </c>
      <c r="C46" s="11" t="s">
        <v>25</v>
      </c>
      <c r="D46" s="86">
        <v>61.0</v>
      </c>
      <c r="E46" s="86">
        <v>1350.0</v>
      </c>
      <c r="F46" s="86">
        <v>2.0</v>
      </c>
      <c r="G46" s="86">
        <v>641.25</v>
      </c>
      <c r="H46" s="86">
        <v>1.63</v>
      </c>
      <c r="I46" s="86">
        <v>74.26</v>
      </c>
      <c r="J46" s="86">
        <v>0.74</v>
      </c>
      <c r="K46" s="86">
        <v>0.33</v>
      </c>
      <c r="L46" s="86">
        <v>2.0</v>
      </c>
      <c r="M46" s="86">
        <v>0.43</v>
      </c>
      <c r="N46" s="86">
        <v>0.62</v>
      </c>
      <c r="O46" s="86">
        <v>0.088</v>
      </c>
      <c r="P46" s="86">
        <v>1.0</v>
      </c>
      <c r="Q46" s="86">
        <v>0.54</v>
      </c>
      <c r="R46" s="86">
        <v>0.019</v>
      </c>
      <c r="S46" s="86">
        <v>0.0059</v>
      </c>
      <c r="T46" s="86">
        <v>0.024</v>
      </c>
      <c r="U46" s="86">
        <v>0.0034</v>
      </c>
      <c r="V46" s="86">
        <v>0.011</v>
      </c>
      <c r="W46" s="86">
        <v>0.039</v>
      </c>
      <c r="X46" s="86">
        <v>0.21</v>
      </c>
      <c r="Y46" s="86">
        <v>0.0</v>
      </c>
      <c r="Z46" s="86">
        <v>0.011</v>
      </c>
      <c r="AA46" s="86">
        <v>0.047</v>
      </c>
      <c r="AB46" s="86">
        <v>0.32</v>
      </c>
      <c r="AC46" s="86">
        <v>0.0</v>
      </c>
      <c r="AD46" s="86"/>
      <c r="AE46" s="86"/>
      <c r="AF46" s="86"/>
      <c r="AG46" s="86"/>
      <c r="AH46" s="86"/>
      <c r="AI46" s="86"/>
    </row>
    <row r="47">
      <c r="A47" s="10">
        <v>45.0</v>
      </c>
      <c r="B47" s="10" t="s">
        <v>36</v>
      </c>
      <c r="C47" s="11" t="s">
        <v>21</v>
      </c>
      <c r="D47" s="86">
        <v>84.0</v>
      </c>
      <c r="E47" s="86">
        <v>1106.0</v>
      </c>
      <c r="F47" s="86">
        <v>2.0</v>
      </c>
      <c r="G47" s="86">
        <v>7.31</v>
      </c>
      <c r="H47" s="86">
        <v>1.5</v>
      </c>
      <c r="I47" s="86">
        <v>2.1</v>
      </c>
      <c r="J47" s="86">
        <v>0.317</v>
      </c>
      <c r="K47" s="86">
        <v>0.08773</v>
      </c>
      <c r="L47" s="86">
        <v>0.47</v>
      </c>
      <c r="M47" s="86">
        <v>0.13253</v>
      </c>
      <c r="N47" s="86">
        <v>0.37438</v>
      </c>
      <c r="O47" s="86">
        <v>0.045</v>
      </c>
      <c r="P47" s="86">
        <v>0.476</v>
      </c>
      <c r="Q47" s="86">
        <v>0.303</v>
      </c>
      <c r="R47" s="86">
        <v>0.3538</v>
      </c>
      <c r="S47" s="86">
        <v>0.121</v>
      </c>
      <c r="T47" s="86">
        <v>0.6053</v>
      </c>
      <c r="U47" s="86">
        <v>0.0985</v>
      </c>
      <c r="V47" s="86">
        <v>0.002186</v>
      </c>
      <c r="W47" s="86">
        <v>0.00554</v>
      </c>
      <c r="X47" s="86">
        <v>0.04141</v>
      </c>
      <c r="Y47" s="86">
        <v>0.0</v>
      </c>
      <c r="Z47" s="86">
        <v>0.003484</v>
      </c>
      <c r="AA47" s="86">
        <v>0.014</v>
      </c>
      <c r="AB47" s="86">
        <v>0.111666</v>
      </c>
      <c r="AC47" s="86">
        <v>0.0</v>
      </c>
      <c r="AD47" s="106"/>
      <c r="AE47" s="106"/>
      <c r="AF47" s="106"/>
      <c r="AG47" s="106"/>
      <c r="AH47" s="106"/>
      <c r="AI47" s="106"/>
    </row>
    <row r="48">
      <c r="A48" s="10">
        <v>46.0</v>
      </c>
      <c r="B48" s="10" t="s">
        <v>41</v>
      </c>
      <c r="C48" s="11" t="s">
        <v>23</v>
      </c>
      <c r="D48" s="91">
        <v>101.0</v>
      </c>
      <c r="E48" s="91">
        <v>2173.0</v>
      </c>
      <c r="F48" s="91">
        <v>2.0</v>
      </c>
      <c r="G48" s="93">
        <v>11.6068123</v>
      </c>
      <c r="H48" s="93">
        <v>1.56970297</v>
      </c>
      <c r="I48" s="93">
        <v>4.33564814</v>
      </c>
      <c r="J48" s="93">
        <v>0.430297</v>
      </c>
      <c r="K48" s="93">
        <v>0.198811</v>
      </c>
      <c r="L48" s="91">
        <v>1.0</v>
      </c>
      <c r="M48" s="91">
        <v>0.25</v>
      </c>
      <c r="N48" s="93">
        <v>0.651424</v>
      </c>
      <c r="O48" s="93">
        <v>0.114485</v>
      </c>
      <c r="P48" s="91">
        <v>1.0</v>
      </c>
      <c r="Q48" s="93">
        <v>0.571429</v>
      </c>
      <c r="R48" s="93">
        <v>0.245869</v>
      </c>
      <c r="S48" s="93">
        <v>0.065425</v>
      </c>
      <c r="T48" s="93">
        <v>0.414978</v>
      </c>
      <c r="U48" s="93">
        <v>0.107058</v>
      </c>
      <c r="V48" s="93">
        <v>0.005755</v>
      </c>
      <c r="W48" s="93">
        <v>0.015439</v>
      </c>
      <c r="X48" s="93">
        <v>0.054997</v>
      </c>
      <c r="Y48" s="91">
        <v>0.0</v>
      </c>
      <c r="Z48" s="93">
        <v>0.006663</v>
      </c>
      <c r="AA48" s="93">
        <v>0.027151</v>
      </c>
      <c r="AB48" s="93">
        <v>0.200002</v>
      </c>
      <c r="AC48" s="91">
        <v>0.0</v>
      </c>
      <c r="AD48" s="106"/>
      <c r="AE48" s="106"/>
      <c r="AF48" s="106"/>
      <c r="AG48" s="106"/>
      <c r="AH48" s="106"/>
      <c r="AI48" s="106"/>
    </row>
    <row r="49">
      <c r="A49" s="96">
        <v>47.0</v>
      </c>
      <c r="B49" s="141" t="s">
        <v>61</v>
      </c>
      <c r="C49" s="96" t="s">
        <v>21</v>
      </c>
      <c r="D49" s="97">
        <v>68.0</v>
      </c>
      <c r="E49" s="97">
        <v>796.0</v>
      </c>
      <c r="F49" s="97">
        <v>3.0</v>
      </c>
      <c r="G49" s="142"/>
      <c r="H49" s="143">
        <v>1.848112</v>
      </c>
      <c r="I49" s="142"/>
      <c r="J49" s="97">
        <v>0.349429</v>
      </c>
      <c r="K49" s="97">
        <v>0.072364</v>
      </c>
      <c r="L49" s="97">
        <v>0.731343</v>
      </c>
      <c r="M49" s="97">
        <v>0.268657</v>
      </c>
      <c r="N49" s="143">
        <v>0.548055</v>
      </c>
      <c r="O49" s="143">
        <v>0.064392</v>
      </c>
      <c r="P49" s="143">
        <v>0.788235</v>
      </c>
      <c r="Q49" s="143">
        <v>0.475177</v>
      </c>
      <c r="R49" s="142"/>
      <c r="S49" s="142"/>
      <c r="T49" s="142"/>
      <c r="U49" s="142"/>
      <c r="V49" s="143">
        <v>0.01285</v>
      </c>
      <c r="W49" s="143">
        <v>0.074106</v>
      </c>
      <c r="X49" s="143">
        <v>0.474898</v>
      </c>
      <c r="Y49" s="97">
        <v>0.0</v>
      </c>
      <c r="Z49" s="142"/>
      <c r="AA49" s="142"/>
      <c r="AB49" s="142"/>
      <c r="AC49" s="142"/>
      <c r="AD49" s="142"/>
      <c r="AE49" s="142"/>
      <c r="AF49" s="142"/>
      <c r="AG49" s="142"/>
      <c r="AH49" s="142"/>
      <c r="AI49" s="142"/>
    </row>
    <row r="50">
      <c r="A50" s="10">
        <v>48.0</v>
      </c>
      <c r="B50" s="10" t="s">
        <v>44</v>
      </c>
      <c r="C50" s="11" t="s">
        <v>23</v>
      </c>
      <c r="D50" s="106"/>
      <c r="E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</row>
    <row r="51">
      <c r="A51" s="10">
        <v>49.0</v>
      </c>
      <c r="B51" s="10" t="s">
        <v>50</v>
      </c>
      <c r="C51" s="11" t="s">
        <v>23</v>
      </c>
      <c r="D51" s="86">
        <v>76.0</v>
      </c>
      <c r="E51" s="86">
        <v>1227.0</v>
      </c>
      <c r="F51" s="86">
        <v>4.0</v>
      </c>
      <c r="G51" s="86">
        <v>11.972</v>
      </c>
      <c r="H51" s="86">
        <v>1.68</v>
      </c>
      <c r="I51" s="86">
        <v>4.522</v>
      </c>
      <c r="J51" s="86">
        <v>0.4305</v>
      </c>
      <c r="K51" s="86">
        <v>0.1654</v>
      </c>
      <c r="L51" s="86">
        <v>0.88</v>
      </c>
      <c r="M51" s="86">
        <v>0.053</v>
      </c>
      <c r="N51" s="86">
        <v>0.6098</v>
      </c>
      <c r="O51" s="86">
        <v>0.0938</v>
      </c>
      <c r="P51" s="86">
        <v>0.893</v>
      </c>
      <c r="Q51" s="86">
        <v>0.397</v>
      </c>
      <c r="R51" s="86">
        <v>0.2304</v>
      </c>
      <c r="S51" s="86">
        <v>0.0409</v>
      </c>
      <c r="T51" s="86">
        <v>0.3415</v>
      </c>
      <c r="U51" s="86">
        <v>0.1307</v>
      </c>
      <c r="V51" s="86">
        <v>0.00927</v>
      </c>
      <c r="W51" s="86">
        <v>0.035408</v>
      </c>
      <c r="X51" s="86">
        <v>0.1586</v>
      </c>
      <c r="Y51" s="86">
        <v>0.0</v>
      </c>
      <c r="Z51" s="86">
        <v>0.0927</v>
      </c>
      <c r="AA51" s="86">
        <v>0.35434</v>
      </c>
      <c r="AB51" s="86">
        <v>0.168178</v>
      </c>
      <c r="AC51" s="86">
        <v>0.0</v>
      </c>
      <c r="AD51" s="106"/>
      <c r="AE51" s="106"/>
      <c r="AF51" s="106"/>
      <c r="AG51" s="106"/>
      <c r="AH51" s="106"/>
      <c r="AI51" s="106"/>
    </row>
    <row r="52">
      <c r="A52" s="10">
        <v>50.0</v>
      </c>
      <c r="B52" s="10" t="s">
        <v>62</v>
      </c>
      <c r="C52" s="11" t="s">
        <v>23</v>
      </c>
      <c r="D52" s="86">
        <v>98.0</v>
      </c>
      <c r="E52" s="86">
        <v>2276.0</v>
      </c>
      <c r="F52" s="86">
        <v>3.0</v>
      </c>
      <c r="G52" s="86">
        <f>2637.73/60</f>
        <v>43.96216667</v>
      </c>
      <c r="H52" s="86">
        <v>1.92</v>
      </c>
      <c r="I52" s="86">
        <f>937.086/60</f>
        <v>15.6181</v>
      </c>
      <c r="J52" s="86">
        <v>0.4789</v>
      </c>
      <c r="K52" s="86">
        <v>0.1421</v>
      </c>
      <c r="L52" s="86">
        <v>1.1959</v>
      </c>
      <c r="M52" s="86">
        <v>0.3918</v>
      </c>
      <c r="N52" s="86">
        <v>0.5243</v>
      </c>
      <c r="O52" s="86">
        <v>0.0508</v>
      </c>
      <c r="P52" s="86">
        <v>0.7132</v>
      </c>
      <c r="Q52" s="86">
        <v>0.4663</v>
      </c>
      <c r="R52" s="86">
        <v>0.0011</v>
      </c>
      <c r="S52" s="86">
        <v>3.0E-4</v>
      </c>
      <c r="T52" s="86">
        <v>0.0017</v>
      </c>
      <c r="U52" s="86">
        <v>6.0E-4</v>
      </c>
      <c r="V52" s="86">
        <v>0.0096</v>
      </c>
      <c r="W52" s="86">
        <v>0.0308</v>
      </c>
      <c r="X52" s="86">
        <v>0.1735</v>
      </c>
      <c r="Y52" s="86">
        <v>0.0</v>
      </c>
      <c r="Z52" s="86">
        <v>0.0541</v>
      </c>
      <c r="AA52" s="86">
        <v>0.0555</v>
      </c>
      <c r="AB52" s="86">
        <v>0.2766</v>
      </c>
      <c r="AC52" s="86">
        <v>0.0</v>
      </c>
      <c r="AD52" s="86"/>
      <c r="AE52" s="86"/>
      <c r="AF52" s="86"/>
      <c r="AG52" s="86"/>
      <c r="AH52" s="86"/>
      <c r="AI52" s="86"/>
    </row>
    <row r="5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</row>
    <row r="54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</row>
    <row r="55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</row>
    <row r="56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</row>
    <row r="57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</row>
    <row r="58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</row>
    <row r="59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</row>
    <row r="60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</row>
    <row r="61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</row>
    <row r="62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</row>
    <row r="6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</row>
    <row r="64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</row>
    <row r="65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</row>
    <row r="66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</row>
    <row r="67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</row>
    <row r="68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</row>
    <row r="69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</row>
    <row r="70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</row>
    <row r="71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</row>
    <row r="72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</row>
    <row r="7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</row>
    <row r="74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</row>
    <row r="75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</row>
    <row r="76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</row>
    <row r="77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</row>
    <row r="78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</row>
    <row r="79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</row>
    <row r="80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</row>
    <row r="8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</row>
    <row r="82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</row>
    <row r="8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</row>
    <row r="84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</row>
    <row r="85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</row>
    <row r="86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</row>
    <row r="87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</row>
    <row r="88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</row>
    <row r="89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</row>
    <row r="90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</row>
    <row r="9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</row>
    <row r="92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</row>
    <row r="9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</row>
    <row r="94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</row>
    <row r="95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</row>
    <row r="96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</row>
    <row r="97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</row>
    <row r="98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</row>
    <row r="99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</row>
    <row r="100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</row>
    <row r="10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</row>
    <row r="102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</row>
    <row r="10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</row>
    <row r="104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</row>
    <row r="105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</row>
    <row r="106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</row>
    <row r="107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</row>
    <row r="108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</row>
    <row r="109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</row>
    <row r="110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</row>
    <row r="11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</row>
    <row r="112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</row>
    <row r="11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</row>
    <row r="114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</row>
    <row r="115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</row>
    <row r="116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</row>
    <row r="117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</row>
    <row r="118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</row>
    <row r="119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</row>
    <row r="120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</row>
    <row r="12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</row>
    <row r="122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</row>
    <row r="12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</row>
    <row r="124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</row>
    <row r="125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</row>
    <row r="126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</row>
    <row r="127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</row>
    <row r="128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</row>
    <row r="129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</row>
    <row r="130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</row>
    <row r="13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</row>
    <row r="132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</row>
    <row r="13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</row>
    <row r="134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</row>
    <row r="135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</row>
    <row r="136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</row>
    <row r="137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</row>
    <row r="138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</row>
    <row r="139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</row>
    <row r="140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</row>
    <row r="14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</row>
    <row r="142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</row>
    <row r="14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</row>
    <row r="144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</row>
    <row r="145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</row>
    <row r="146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</row>
    <row r="147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</row>
    <row r="148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</row>
    <row r="149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</row>
    <row r="150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</row>
    <row r="15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</row>
    <row r="152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</row>
    <row r="15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</row>
    <row r="154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</row>
    <row r="155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</row>
    <row r="156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</row>
    <row r="157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</row>
    <row r="158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</row>
    <row r="159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</row>
    <row r="160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</row>
    <row r="16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</row>
    <row r="162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</row>
    <row r="16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</row>
    <row r="164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</row>
    <row r="165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</row>
    <row r="166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</row>
    <row r="167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</row>
    <row r="168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</row>
    <row r="169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</row>
    <row r="170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</row>
    <row r="17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</row>
    <row r="172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</row>
    <row r="17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</row>
    <row r="174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</row>
    <row r="175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</row>
    <row r="176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</row>
    <row r="177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</row>
    <row r="178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</row>
    <row r="179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</row>
    <row r="180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</row>
    <row r="18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</row>
    <row r="182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</row>
    <row r="18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</row>
    <row r="184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</row>
    <row r="185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</row>
    <row r="186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</row>
    <row r="187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</row>
    <row r="188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</row>
    <row r="189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</row>
    <row r="190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</row>
    <row r="19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</row>
    <row r="192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</row>
    <row r="19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</row>
    <row r="194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</row>
    <row r="195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</row>
    <row r="196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</row>
    <row r="197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</row>
    <row r="198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</row>
    <row r="199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</row>
    <row r="200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</row>
    <row r="20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</row>
    <row r="202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</row>
    <row r="20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</row>
    <row r="204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</row>
    <row r="205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</row>
    <row r="206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</row>
    <row r="207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</row>
    <row r="208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</row>
    <row r="209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</row>
    <row r="210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</row>
    <row r="21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</row>
    <row r="212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</row>
    <row r="21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</row>
    <row r="214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</row>
    <row r="215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</row>
    <row r="216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</row>
    <row r="217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</row>
    <row r="218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</row>
    <row r="219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</row>
    <row r="220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</row>
    <row r="221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</row>
    <row r="222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</row>
    <row r="22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</row>
    <row r="224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</row>
    <row r="225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</row>
    <row r="226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</row>
    <row r="227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</row>
    <row r="228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</row>
    <row r="229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</row>
    <row r="230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</row>
    <row r="231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</row>
    <row r="232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</row>
    <row r="23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</row>
    <row r="234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</row>
    <row r="235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</row>
    <row r="236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</row>
    <row r="237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</row>
    <row r="238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</row>
    <row r="239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</row>
    <row r="240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</row>
    <row r="241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</row>
    <row r="242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</row>
    <row r="24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</row>
    <row r="244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</row>
    <row r="245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</row>
    <row r="246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</row>
    <row r="247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</row>
    <row r="248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</row>
    <row r="249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</row>
    <row r="250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</row>
    <row r="251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</row>
    <row r="252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</row>
    <row r="25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</row>
    <row r="254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</row>
    <row r="255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</row>
    <row r="256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</row>
    <row r="257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</row>
    <row r="258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</row>
    <row r="259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</row>
    <row r="260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</row>
    <row r="261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</row>
    <row r="262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</row>
    <row r="26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</row>
    <row r="264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</row>
    <row r="265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</row>
    <row r="266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</row>
    <row r="267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</row>
    <row r="268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</row>
    <row r="269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</row>
    <row r="270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</row>
    <row r="271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</row>
    <row r="272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</row>
    <row r="27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</row>
    <row r="274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</row>
    <row r="275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</row>
    <row r="276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</row>
    <row r="277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</row>
    <row r="278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</row>
    <row r="279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</row>
    <row r="280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</row>
    <row r="281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</row>
    <row r="282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</row>
    <row r="28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</row>
    <row r="284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</row>
    <row r="285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</row>
    <row r="286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</row>
    <row r="287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</row>
    <row r="288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</row>
    <row r="289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</row>
    <row r="290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</row>
    <row r="291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</row>
    <row r="292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</row>
    <row r="29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</row>
    <row r="294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</row>
    <row r="295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</row>
    <row r="296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</row>
    <row r="297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</row>
    <row r="298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</row>
    <row r="299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</row>
    <row r="300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</row>
    <row r="301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</row>
    <row r="302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</row>
    <row r="30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</row>
    <row r="304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</row>
    <row r="305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</row>
    <row r="306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</row>
    <row r="307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</row>
    <row r="308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</row>
    <row r="309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</row>
    <row r="310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</row>
    <row r="311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</row>
    <row r="312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</row>
    <row r="31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</row>
    <row r="314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</row>
    <row r="315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</row>
    <row r="316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</row>
    <row r="317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</row>
    <row r="318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</row>
    <row r="319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</row>
    <row r="320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</row>
    <row r="321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</row>
    <row r="322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</row>
    <row r="32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</row>
    <row r="324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</row>
    <row r="325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</row>
    <row r="326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</row>
    <row r="327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</row>
    <row r="328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</row>
    <row r="329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</row>
    <row r="330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</row>
    <row r="331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</row>
    <row r="332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</row>
    <row r="33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</row>
    <row r="334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</row>
    <row r="335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</row>
    <row r="336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</row>
    <row r="337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</row>
    <row r="338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</row>
    <row r="339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</row>
    <row r="340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</row>
    <row r="341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</row>
    <row r="342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</row>
    <row r="34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</row>
    <row r="344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</row>
    <row r="345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</row>
    <row r="346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</row>
    <row r="347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</row>
    <row r="348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</row>
    <row r="349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</row>
    <row r="350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</row>
    <row r="351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</row>
    <row r="352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</row>
    <row r="35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</row>
    <row r="354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</row>
    <row r="355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</row>
    <row r="356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</row>
    <row r="357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</row>
    <row r="358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</row>
    <row r="359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</row>
    <row r="360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</row>
    <row r="361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</row>
    <row r="362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</row>
    <row r="36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</row>
    <row r="364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</row>
    <row r="365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</row>
    <row r="366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</row>
    <row r="367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</row>
    <row r="368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</row>
    <row r="369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</row>
    <row r="370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</row>
    <row r="371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</row>
    <row r="372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</row>
    <row r="37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</row>
    <row r="374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</row>
    <row r="375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</row>
    <row r="376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</row>
    <row r="377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</row>
    <row r="378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</row>
    <row r="379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</row>
    <row r="380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</row>
    <row r="381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</row>
    <row r="382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</row>
    <row r="38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</row>
    <row r="384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</row>
    <row r="385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</row>
    <row r="386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</row>
    <row r="387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</row>
    <row r="388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</row>
    <row r="389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</row>
    <row r="390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</row>
    <row r="391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</row>
    <row r="392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</row>
    <row r="39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</row>
    <row r="394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</row>
    <row r="395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</row>
    <row r="396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</row>
    <row r="397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</row>
    <row r="398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</row>
    <row r="399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</row>
    <row r="400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</row>
    <row r="401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</row>
    <row r="402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</row>
    <row r="40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</row>
    <row r="404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</row>
    <row r="405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</row>
    <row r="406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</row>
    <row r="407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</row>
    <row r="408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</row>
    <row r="409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</row>
    <row r="410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</row>
    <row r="411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</row>
    <row r="412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</row>
    <row r="41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</row>
    <row r="414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</row>
    <row r="415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</row>
    <row r="416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</row>
    <row r="417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</row>
    <row r="418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</row>
    <row r="419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</row>
    <row r="420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</row>
    <row r="421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</row>
    <row r="422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</row>
    <row r="42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</row>
    <row r="424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</row>
    <row r="425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</row>
    <row r="426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</row>
    <row r="427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</row>
    <row r="428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</row>
    <row r="429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</row>
    <row r="430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</row>
    <row r="431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</row>
    <row r="432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</row>
    <row r="43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</row>
    <row r="434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</row>
    <row r="435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</row>
    <row r="436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</row>
    <row r="437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</row>
    <row r="438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</row>
    <row r="439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</row>
    <row r="440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</row>
    <row r="441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</row>
    <row r="442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</row>
    <row r="44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</row>
    <row r="444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</row>
    <row r="445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</row>
    <row r="446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</row>
    <row r="447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</row>
    <row r="448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</row>
    <row r="449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</row>
    <row r="450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</row>
    <row r="451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</row>
    <row r="452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</row>
    <row r="45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</row>
    <row r="454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</row>
    <row r="455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</row>
    <row r="456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</row>
    <row r="457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</row>
    <row r="458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</row>
    <row r="459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</row>
    <row r="460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</row>
    <row r="461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</row>
    <row r="462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</row>
    <row r="46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</row>
    <row r="464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</row>
    <row r="465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</row>
    <row r="466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</row>
    <row r="467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</row>
    <row r="468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</row>
    <row r="469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</row>
    <row r="470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</row>
    <row r="471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</row>
    <row r="472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</row>
    <row r="47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</row>
    <row r="474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</row>
    <row r="475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</row>
    <row r="476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</row>
    <row r="477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</row>
    <row r="478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</row>
    <row r="479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</row>
    <row r="480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</row>
    <row r="481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</row>
    <row r="482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</row>
    <row r="48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</row>
    <row r="484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</row>
    <row r="485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</row>
    <row r="486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</row>
    <row r="487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</row>
    <row r="488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</row>
    <row r="489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</row>
    <row r="490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</row>
    <row r="491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</row>
    <row r="492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</row>
    <row r="49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</row>
    <row r="494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</row>
    <row r="495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</row>
    <row r="496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</row>
    <row r="497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</row>
    <row r="498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</row>
    <row r="499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</row>
    <row r="500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</row>
    <row r="501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</row>
    <row r="502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</row>
    <row r="50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</row>
    <row r="504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</row>
    <row r="505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</row>
    <row r="506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</row>
    <row r="507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</row>
    <row r="508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</row>
    <row r="509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</row>
    <row r="510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</row>
    <row r="511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</row>
    <row r="512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</row>
    <row r="51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</row>
    <row r="514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</row>
    <row r="515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</row>
    <row r="516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</row>
    <row r="517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</row>
    <row r="518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</row>
    <row r="519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</row>
    <row r="520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</row>
    <row r="521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</row>
    <row r="522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</row>
    <row r="52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</row>
    <row r="524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</row>
    <row r="525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</row>
    <row r="526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</row>
    <row r="527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</row>
    <row r="528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</row>
    <row r="529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</row>
    <row r="530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</row>
    <row r="531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</row>
    <row r="532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</row>
    <row r="53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</row>
    <row r="534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</row>
    <row r="535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</row>
    <row r="536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</row>
    <row r="537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</row>
    <row r="538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</row>
    <row r="539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</row>
    <row r="540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</row>
    <row r="541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</row>
    <row r="542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</row>
    <row r="54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</row>
    <row r="544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</row>
    <row r="545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</row>
    <row r="546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</row>
    <row r="547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</row>
    <row r="548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</row>
    <row r="549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</row>
    <row r="550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</row>
    <row r="551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</row>
    <row r="552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</row>
    <row r="55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</row>
    <row r="554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</row>
    <row r="555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</row>
    <row r="556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</row>
    <row r="557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</row>
    <row r="558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</row>
    <row r="559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</row>
    <row r="560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</row>
    <row r="561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</row>
    <row r="562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</row>
    <row r="56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</row>
    <row r="564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</row>
    <row r="565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</row>
    <row r="566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</row>
    <row r="567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</row>
    <row r="568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</row>
    <row r="569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</row>
    <row r="570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</row>
    <row r="571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</row>
    <row r="572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</row>
    <row r="57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</row>
    <row r="574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</row>
    <row r="575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</row>
    <row r="576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</row>
    <row r="577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</row>
    <row r="578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</row>
    <row r="579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</row>
    <row r="580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</row>
    <row r="581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</row>
    <row r="582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</row>
    <row r="58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</row>
    <row r="584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</row>
    <row r="585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</row>
    <row r="586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</row>
    <row r="587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</row>
    <row r="588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</row>
    <row r="589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</row>
    <row r="590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</row>
    <row r="591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</row>
    <row r="592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</row>
    <row r="59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</row>
    <row r="594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</row>
    <row r="595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</row>
    <row r="596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</row>
    <row r="597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</row>
    <row r="598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</row>
    <row r="599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</row>
    <row r="600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</row>
    <row r="601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</row>
    <row r="602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</row>
    <row r="60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</row>
    <row r="604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</row>
    <row r="605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</row>
    <row r="606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</row>
    <row r="607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</row>
    <row r="608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</row>
    <row r="609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</row>
    <row r="610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</row>
    <row r="611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</row>
    <row r="612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</row>
    <row r="61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</row>
    <row r="614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</row>
    <row r="615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</row>
    <row r="616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</row>
    <row r="617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</row>
    <row r="618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</row>
    <row r="619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</row>
    <row r="620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</row>
    <row r="621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</row>
    <row r="622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</row>
    <row r="62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</row>
    <row r="624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</row>
    <row r="625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</row>
    <row r="626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</row>
    <row r="627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</row>
    <row r="628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</row>
    <row r="629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</row>
    <row r="630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</row>
    <row r="631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</row>
    <row r="632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</row>
    <row r="63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</row>
    <row r="634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</row>
    <row r="635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</row>
    <row r="636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</row>
    <row r="637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</row>
    <row r="638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</row>
    <row r="639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</row>
    <row r="640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</row>
    <row r="641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</row>
    <row r="642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</row>
    <row r="64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</row>
    <row r="644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</row>
    <row r="645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</row>
    <row r="646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</row>
    <row r="647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</row>
    <row r="648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</row>
    <row r="649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</row>
    <row r="650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</row>
    <row r="651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</row>
    <row r="652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</row>
    <row r="65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</row>
    <row r="654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</row>
    <row r="655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</row>
    <row r="656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</row>
    <row r="657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</row>
    <row r="658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</row>
    <row r="659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</row>
    <row r="660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</row>
    <row r="661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</row>
    <row r="662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</row>
    <row r="66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</row>
    <row r="664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</row>
    <row r="665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</row>
    <row r="666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</row>
    <row r="667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</row>
    <row r="668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</row>
    <row r="669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</row>
    <row r="670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</row>
    <row r="671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</row>
    <row r="672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</row>
    <row r="67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</row>
    <row r="674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</row>
    <row r="675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</row>
    <row r="676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</row>
    <row r="677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</row>
    <row r="678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</row>
    <row r="679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</row>
    <row r="680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</row>
    <row r="681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</row>
    <row r="682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</row>
    <row r="68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</row>
    <row r="684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</row>
    <row r="685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</row>
    <row r="686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</row>
    <row r="687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</row>
    <row r="688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</row>
    <row r="689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</row>
    <row r="690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</row>
    <row r="691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</row>
    <row r="692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</row>
    <row r="69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</row>
    <row r="694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</row>
    <row r="695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</row>
    <row r="696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</row>
    <row r="697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</row>
    <row r="698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</row>
    <row r="699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</row>
    <row r="700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</row>
    <row r="701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</row>
    <row r="702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</row>
    <row r="70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</row>
    <row r="704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</row>
    <row r="705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</row>
    <row r="706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</row>
    <row r="707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</row>
    <row r="708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</row>
    <row r="709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</row>
    <row r="710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</row>
    <row r="711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</row>
    <row r="712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</row>
    <row r="71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</row>
    <row r="714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</row>
    <row r="715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</row>
    <row r="716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</row>
    <row r="717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</row>
    <row r="718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</row>
    <row r="719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</row>
    <row r="720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</row>
    <row r="721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</row>
    <row r="722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</row>
    <row r="72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</row>
    <row r="724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</row>
    <row r="725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</row>
    <row r="726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</row>
    <row r="727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</row>
    <row r="728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</row>
    <row r="729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</row>
    <row r="730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</row>
    <row r="731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</row>
    <row r="732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</row>
    <row r="73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</row>
    <row r="734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</row>
    <row r="735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</row>
    <row r="736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</row>
    <row r="737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</row>
    <row r="738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</row>
    <row r="739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</row>
    <row r="740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</row>
    <row r="741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</row>
    <row r="742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</row>
    <row r="74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</row>
    <row r="744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</row>
    <row r="745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</row>
    <row r="746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</row>
    <row r="747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</row>
    <row r="748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</row>
    <row r="749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</row>
    <row r="750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</row>
    <row r="751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</row>
    <row r="752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</row>
    <row r="75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</row>
    <row r="754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</row>
    <row r="755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</row>
    <row r="756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</row>
    <row r="757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</row>
    <row r="758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</row>
    <row r="759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</row>
    <row r="760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</row>
    <row r="761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</row>
    <row r="762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</row>
    <row r="76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</row>
    <row r="764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</row>
    <row r="765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</row>
    <row r="766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</row>
    <row r="767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</row>
    <row r="768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</row>
    <row r="769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</row>
    <row r="770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</row>
    <row r="771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</row>
    <row r="772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</row>
    <row r="77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</row>
    <row r="774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</row>
    <row r="775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</row>
    <row r="776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</row>
    <row r="777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</row>
    <row r="778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</row>
    <row r="779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</row>
    <row r="780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</row>
    <row r="781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</row>
    <row r="782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</row>
    <row r="78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</row>
    <row r="784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</row>
    <row r="785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</row>
    <row r="786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</row>
    <row r="787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</row>
    <row r="788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</row>
    <row r="789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</row>
    <row r="790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</row>
    <row r="791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</row>
    <row r="792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</row>
    <row r="79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</row>
    <row r="794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</row>
    <row r="795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</row>
    <row r="796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</row>
    <row r="797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</row>
    <row r="798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</row>
    <row r="799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</row>
    <row r="800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</row>
    <row r="801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</row>
    <row r="802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</row>
    <row r="80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</row>
    <row r="804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</row>
    <row r="805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</row>
    <row r="806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</row>
    <row r="807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</row>
    <row r="808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</row>
    <row r="809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</row>
    <row r="810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</row>
    <row r="811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</row>
    <row r="812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</row>
    <row r="81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</row>
    <row r="814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</row>
    <row r="815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</row>
    <row r="816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</row>
    <row r="817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</row>
    <row r="818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</row>
    <row r="819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</row>
    <row r="820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</row>
    <row r="821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</row>
    <row r="822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</row>
    <row r="82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</row>
    <row r="824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</row>
    <row r="825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</row>
    <row r="826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</row>
    <row r="827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</row>
    <row r="828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</row>
    <row r="829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</row>
    <row r="830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</row>
    <row r="831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</row>
    <row r="832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</row>
    <row r="83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</row>
    <row r="834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</row>
    <row r="835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</row>
    <row r="836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</row>
    <row r="837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</row>
    <row r="838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</row>
    <row r="839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</row>
    <row r="840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</row>
    <row r="841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</row>
    <row r="842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</row>
    <row r="84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</row>
    <row r="844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</row>
    <row r="845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</row>
    <row r="846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</row>
    <row r="847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</row>
    <row r="848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</row>
    <row r="849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</row>
    <row r="850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</row>
    <row r="851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</row>
    <row r="852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</row>
    <row r="85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</row>
    <row r="854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</row>
    <row r="855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</row>
    <row r="856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</row>
    <row r="857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</row>
    <row r="858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</row>
    <row r="859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</row>
    <row r="860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</row>
    <row r="861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</row>
    <row r="862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</row>
    <row r="86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</row>
    <row r="864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</row>
    <row r="865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</row>
    <row r="866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</row>
    <row r="867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</row>
    <row r="868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</row>
    <row r="869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</row>
    <row r="870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</row>
    <row r="871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</row>
    <row r="872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</row>
    <row r="87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</row>
    <row r="874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</row>
    <row r="875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</row>
    <row r="876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</row>
    <row r="877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</row>
    <row r="878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</row>
    <row r="879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</row>
    <row r="880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</row>
    <row r="881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</row>
    <row r="882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</row>
    <row r="88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</row>
    <row r="884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</row>
    <row r="885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</row>
    <row r="886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</row>
    <row r="887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</row>
    <row r="888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</row>
    <row r="889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</row>
    <row r="890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</row>
    <row r="891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</row>
    <row r="892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</row>
    <row r="89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</row>
    <row r="894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</row>
    <row r="895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</row>
    <row r="896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</row>
    <row r="897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</row>
    <row r="898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</row>
    <row r="899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</row>
    <row r="900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</row>
    <row r="901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</row>
    <row r="902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</row>
    <row r="90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</row>
    <row r="904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</row>
    <row r="905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</row>
    <row r="906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</row>
    <row r="907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</row>
    <row r="908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</row>
    <row r="909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</row>
    <row r="910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</row>
    <row r="911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</row>
    <row r="912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</row>
    <row r="91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</row>
    <row r="914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</row>
    <row r="915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</row>
    <row r="916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</row>
    <row r="917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</row>
    <row r="918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</row>
    <row r="919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</row>
    <row r="920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</row>
    <row r="921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</row>
    <row r="922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</row>
    <row r="92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</row>
    <row r="924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</row>
    <row r="925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</row>
    <row r="926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</row>
    <row r="927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</row>
    <row r="928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</row>
    <row r="929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</row>
    <row r="930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</row>
    <row r="931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</row>
    <row r="932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</row>
    <row r="93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</row>
    <row r="934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</row>
    <row r="935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</row>
    <row r="936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</row>
    <row r="937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</row>
    <row r="938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</row>
    <row r="939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</row>
    <row r="940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</row>
    <row r="941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</row>
    <row r="942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</row>
    <row r="94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</row>
    <row r="944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</row>
    <row r="945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</row>
    <row r="946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</row>
    <row r="947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</row>
    <row r="948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</row>
    <row r="949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</row>
    <row r="950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</row>
    <row r="951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</row>
    <row r="952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</row>
    <row r="95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</row>
    <row r="954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</row>
    <row r="955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</row>
    <row r="956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</row>
    <row r="957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</row>
    <row r="958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</row>
    <row r="959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</row>
    <row r="960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</row>
    <row r="961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</row>
    <row r="962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</row>
    <row r="963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</row>
    <row r="964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</row>
    <row r="965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</row>
    <row r="966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</row>
    <row r="967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</row>
    <row r="968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</row>
    <row r="969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</row>
    <row r="970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</row>
    <row r="971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</row>
    <row r="972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</row>
    <row r="973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</row>
    <row r="974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</row>
    <row r="975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</row>
    <row r="976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</row>
    <row r="977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</row>
    <row r="978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</row>
    <row r="979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</row>
    <row r="980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</row>
    <row r="981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</row>
    <row r="982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</row>
    <row r="983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</row>
    <row r="984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</row>
    <row r="985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</row>
    <row r="986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</row>
    <row r="987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</row>
    <row r="988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</row>
    <row r="989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</row>
    <row r="990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</row>
    <row r="991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</row>
    <row r="992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</row>
    <row r="993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</row>
    <row r="994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</row>
    <row r="995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</row>
    <row r="996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</row>
    <row r="997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</row>
    <row r="998">
      <c r="A998" s="106"/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</row>
    <row r="999">
      <c r="A999" s="106"/>
      <c r="B999" s="106"/>
      <c r="C999" s="106"/>
      <c r="D999" s="106"/>
      <c r="E999" s="106"/>
      <c r="F999" s="106"/>
      <c r="G999" s="106"/>
      <c r="H999" s="106"/>
      <c r="I999" s="106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</row>
    <row r="1000">
      <c r="A1000" s="106"/>
      <c r="B1000" s="106"/>
      <c r="C1000" s="106"/>
      <c r="D1000" s="106"/>
      <c r="E1000" s="106"/>
      <c r="F1000" s="106"/>
      <c r="G1000" s="106"/>
      <c r="H1000" s="106"/>
      <c r="I1000" s="106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</row>
  </sheetData>
  <mergeCells count="14">
    <mergeCell ref="H1:H2"/>
    <mergeCell ref="I1:I2"/>
    <mergeCell ref="J1:M1"/>
    <mergeCell ref="N1:Q1"/>
    <mergeCell ref="R1:U1"/>
    <mergeCell ref="V1:Y1"/>
    <mergeCell ref="Z1:AC1"/>
    <mergeCell ref="A1:A2"/>
    <mergeCell ref="B1:B2"/>
    <mergeCell ref="C1:C2"/>
    <mergeCell ref="D1:D2"/>
    <mergeCell ref="E1:E2"/>
    <mergeCell ref="F1:F2"/>
    <mergeCell ref="G1:G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