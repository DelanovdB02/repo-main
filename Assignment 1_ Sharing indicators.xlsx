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elan\Documents\TU Delft\25-26 - Master - TIL\Q4\Public Demand and Network Planning and Operations- CIEQ6232\Assignment 1\repo-main\"/>
    </mc:Choice>
  </mc:AlternateContent>
  <xr:revisionPtr revIDLastSave="0" documentId="13_ncr:1_{DEA84068-6FD9-458B-B111-FA49732A82C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-space" sheetId="1" r:id="rId1"/>
    <sheet name="P-spac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2" i="2" l="1"/>
  <c r="G52" i="2"/>
  <c r="Q39" i="2"/>
  <c r="X38" i="1"/>
  <c r="W38" i="1"/>
  <c r="U38" i="1"/>
  <c r="K6" i="1"/>
  <c r="J6" i="1"/>
</calcChain>
</file>

<file path=xl/sharedStrings.xml><?xml version="1.0" encoding="utf-8"?>
<sst xmlns="http://schemas.openxmlformats.org/spreadsheetml/2006/main" count="267" uniqueCount="69">
  <si>
    <t>Network</t>
  </si>
  <si>
    <t>Mode</t>
  </si>
  <si>
    <t>Nodes</t>
  </si>
  <si>
    <t>Links</t>
  </si>
  <si>
    <t>Diameter [unweighted]</t>
  </si>
  <si>
    <t>Diameter [weighted]</t>
  </si>
  <si>
    <t>ASP [unweighted]</t>
  </si>
  <si>
    <t>ASP [weighted]</t>
  </si>
  <si>
    <t>Connectivity (gamma)</t>
  </si>
  <si>
    <t>Meshedness (alpha)</t>
  </si>
  <si>
    <t>Degree centrality</t>
  </si>
  <si>
    <t>Closeness [unweighted]</t>
  </si>
  <si>
    <t>Closeness [weighted]</t>
  </si>
  <si>
    <t>Betweenness [unweighted]</t>
  </si>
  <si>
    <t>Betweenness [weighted]</t>
  </si>
  <si>
    <t>Average</t>
  </si>
  <si>
    <t>St. dev</t>
  </si>
  <si>
    <t>Max</t>
  </si>
  <si>
    <t>Min</t>
  </si>
  <si>
    <t>Basel</t>
  </si>
  <si>
    <t>Tram</t>
  </si>
  <si>
    <t>Berlin (Metro)</t>
  </si>
  <si>
    <t>Subway</t>
  </si>
  <si>
    <t>Berlin (Sbahn)</t>
  </si>
  <si>
    <t>Rail</t>
  </si>
  <si>
    <t>Bern</t>
  </si>
  <si>
    <t>Bremen</t>
  </si>
  <si>
    <t>Brussels</t>
  </si>
  <si>
    <t>Chicago</t>
  </si>
  <si>
    <t>Copenhagen</t>
  </si>
  <si>
    <t>Freiburg</t>
  </si>
  <si>
    <t>Gdansk</t>
  </si>
  <si>
    <t>Hannover</t>
  </si>
  <si>
    <t>Helsinki</t>
  </si>
  <si>
    <t>Krakow</t>
  </si>
  <si>
    <t>London</t>
  </si>
  <si>
    <t>Madrid</t>
  </si>
  <si>
    <t>Mannheim</t>
  </si>
  <si>
    <t>Montpellier</t>
  </si>
  <si>
    <t>New York</t>
  </si>
  <si>
    <t>Oslo</t>
  </si>
  <si>
    <t>Paris</t>
  </si>
  <si>
    <t>Philadelphia</t>
  </si>
  <si>
    <t>Prague</t>
  </si>
  <si>
    <t>Salzburg</t>
  </si>
  <si>
    <t>Bus</t>
  </si>
  <si>
    <t>Santiago</t>
  </si>
  <si>
    <t>Strasbourg</t>
  </si>
  <si>
    <t>Sydney</t>
  </si>
  <si>
    <t>Toronto</t>
  </si>
  <si>
    <t>Valencia</t>
  </si>
  <si>
    <t>Zagreb</t>
  </si>
  <si>
    <t>Zurich</t>
  </si>
  <si>
    <t>Frankfurt</t>
  </si>
  <si>
    <t>Goteborg</t>
  </si>
  <si>
    <t>Karlsruhe</t>
  </si>
  <si>
    <t>Kassel</t>
  </si>
  <si>
    <t>Lausanne</t>
  </si>
  <si>
    <t>Leipzig</t>
  </si>
  <si>
    <t>Melbourne</t>
  </si>
  <si>
    <t>Paris (Metro)</t>
  </si>
  <si>
    <t>Vienna</t>
  </si>
  <si>
    <t>Group</t>
  </si>
  <si>
    <t>130</t>
  </si>
  <si>
    <t>5645</t>
  </si>
  <si>
    <t>Paris (Tram)</t>
  </si>
  <si>
    <t>Toronto (Subway)</t>
  </si>
  <si>
    <t>Berlin (Subway)</t>
  </si>
  <si>
    <t>Toronto (Tram)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</si>
</sst>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"/>
    <numFmt numFmtId="165" formatCode="0.00000"/>
    <numFmt numFmtId="166" formatCode="0.000"/>
    <numFmt numFmtId="167" formatCode="dd\.mm"/>
    <numFmt numFmtId="168" formatCode="#,##0.000"/>
    <numFmt numFmtId="169" formatCode="#,##0.0000"/>
  </numFmts>
  <fonts count="2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1"/>
      <color rgb="FF000000"/>
      <name val="Arial"/>
      <scheme val="minor"/>
    </font>
    <font>
      <sz val="10"/>
      <color theme="1"/>
      <name val="Arial"/>
      <scheme val="minor"/>
    </font>
    <font>
      <sz val="11"/>
      <color rgb="FF000000"/>
      <name val="Arial"/>
    </font>
    <font>
      <sz val="10"/>
      <color rgb="FF000000"/>
      <name val="Var(--jp-code-font-family)"/>
    </font>
    <font>
      <sz val="10"/>
      <color rgb="FF000000"/>
      <name val="Arial"/>
    </font>
    <font>
      <sz val="10"/>
      <color rgb="FF000000"/>
      <name val="Arial"/>
    </font>
    <font>
      <sz val="11"/>
      <color rgb="FF000000"/>
      <name val="Consolas"/>
    </font>
    <font>
      <sz val="11"/>
      <color rgb="FF000000"/>
      <name val="&quot;Segoe WPC&quot;"/>
    </font>
    <font>
      <sz val="10"/>
      <color theme="1"/>
      <name val="Arial"/>
    </font>
    <font>
      <sz val="10"/>
      <color rgb="FF000000"/>
      <name val="Menlo"/>
    </font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theme="1"/>
      <name val="Arial"/>
      <scheme val="minor"/>
    </font>
    <font>
      <sz val="10"/>
      <color theme="1"/>
      <name val="Arial"/>
    </font>
    <font>
      <sz val="9"/>
      <color rgb="FF000000"/>
      <name val="Menlo"/>
    </font>
    <font>
      <sz val="9"/>
      <color rgb="FF000000"/>
      <name val="Arial"/>
    </font>
    <font>
      <sz val="11"/>
      <color rgb="FF000000"/>
      <name val="Monospace"/>
    </font>
    <font>
      <sz val="11"/>
      <color theme="1"/>
      <name val="&quot;Segoe WPC&quot;"/>
    </font>
    <font>
      <sz val="11"/>
      <color theme="1"/>
      <name val="Arial"/>
    </font>
  </fonts>
  <fills count="10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E599"/>
        <bgColor rgb="FFFFE599"/>
      </patternFill>
    </fill>
    <fill>
      <patternFill patternType="solid">
        <fgColor rgb="FFF9CB9C"/>
        <bgColor rgb="FFF9CB9C"/>
      </patternFill>
    </fill>
    <fill>
      <patternFill patternType="solid">
        <fgColor rgb="FFEA9999"/>
        <bgColor rgb="FFEA9999"/>
      </patternFill>
    </fill>
    <fill>
      <patternFill patternType="solid">
        <fgColor rgb="FF9FC5E8"/>
        <bgColor rgb="FF9FC5E8"/>
      </patternFill>
    </fill>
    <fill>
      <patternFill patternType="solid">
        <fgColor rgb="FFA2C4C9"/>
        <bgColor rgb="FFA2C4C9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7">
    <xf numFmtId="0" fontId="0" fillId="0" borderId="0" xfId="0"/>
    <xf numFmtId="0" fontId="1" fillId="4" borderId="0" xfId="0" applyFont="1" applyFill="1" applyAlignment="1">
      <alignment horizontal="center" vertical="top"/>
    </xf>
    <xf numFmtId="0" fontId="1" fillId="5" borderId="0" xfId="0" applyFont="1" applyFill="1" applyAlignment="1">
      <alignment horizontal="center" vertical="top"/>
    </xf>
    <xf numFmtId="0" fontId="1" fillId="6" borderId="0" xfId="0" applyFont="1" applyFill="1" applyAlignment="1">
      <alignment horizontal="center" vertical="top"/>
    </xf>
    <xf numFmtId="0" fontId="1" fillId="7" borderId="0" xfId="0" applyFont="1" applyFill="1" applyAlignment="1">
      <alignment horizontal="center" vertical="top"/>
    </xf>
    <xf numFmtId="0" fontId="1" fillId="8" borderId="0" xfId="0" applyFont="1" applyFill="1" applyAlignment="1">
      <alignment horizontal="center"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vertical="top"/>
    </xf>
    <xf numFmtId="0" fontId="3" fillId="0" borderId="0" xfId="0" applyFont="1" applyAlignment="1">
      <alignment horizontal="center" vertical="top"/>
    </xf>
    <xf numFmtId="2" fontId="3" fillId="0" borderId="0" xfId="0" applyNumberFormat="1" applyFont="1" applyAlignment="1">
      <alignment horizontal="center" vertical="top"/>
    </xf>
    <xf numFmtId="164" fontId="3" fillId="0" borderId="0" xfId="0" applyNumberFormat="1" applyFont="1" applyAlignment="1">
      <alignment horizontal="center" vertical="top"/>
    </xf>
    <xf numFmtId="164" fontId="4" fillId="9" borderId="0" xfId="0" applyNumberFormat="1" applyFont="1" applyFill="1" applyAlignment="1">
      <alignment horizontal="center" wrapText="1"/>
    </xf>
    <xf numFmtId="165" fontId="3" fillId="0" borderId="0" xfId="0" applyNumberFormat="1" applyFont="1" applyAlignment="1">
      <alignment horizontal="center" vertical="top"/>
    </xf>
    <xf numFmtId="1" fontId="3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center"/>
    </xf>
    <xf numFmtId="2" fontId="0" fillId="0" borderId="0" xfId="0" applyNumberFormat="1" applyAlignment="1">
      <alignment horizontal="center" vertical="top"/>
    </xf>
    <xf numFmtId="164" fontId="5" fillId="0" borderId="0" xfId="0" applyNumberFormat="1" applyFont="1" applyAlignment="1">
      <alignment horizontal="center" wrapText="1"/>
    </xf>
    <xf numFmtId="165" fontId="5" fillId="0" borderId="0" xfId="0" applyNumberFormat="1" applyFont="1" applyAlignment="1">
      <alignment horizontal="center" wrapText="1"/>
    </xf>
    <xf numFmtId="1" fontId="5" fillId="0" borderId="0" xfId="0" applyNumberFormat="1" applyFont="1" applyAlignment="1">
      <alignment horizontal="center" wrapText="1"/>
    </xf>
    <xf numFmtId="2" fontId="5" fillId="0" borderId="0" xfId="0" applyNumberFormat="1" applyFont="1" applyAlignment="1">
      <alignment horizontal="center" wrapText="1"/>
    </xf>
    <xf numFmtId="2" fontId="0" fillId="0" borderId="0" xfId="0" applyNumberFormat="1" applyAlignment="1">
      <alignment horizontal="center"/>
    </xf>
    <xf numFmtId="2" fontId="6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164" fontId="7" fillId="9" borderId="0" xfId="0" applyNumberFormat="1" applyFont="1" applyFill="1" applyAlignment="1">
      <alignment horizontal="center" vertical="top" wrapText="1"/>
    </xf>
    <xf numFmtId="0" fontId="8" fillId="0" borderId="0" xfId="0" applyFont="1" applyAlignment="1">
      <alignment horizontal="center"/>
    </xf>
    <xf numFmtId="164" fontId="9" fillId="0" borderId="0" xfId="0" applyNumberFormat="1" applyFont="1" applyAlignment="1">
      <alignment horizontal="center"/>
    </xf>
    <xf numFmtId="164" fontId="9" fillId="9" borderId="0" xfId="0" applyNumberFormat="1" applyFont="1" applyFill="1" applyAlignment="1">
      <alignment horizontal="center"/>
    </xf>
    <xf numFmtId="165" fontId="9" fillId="9" borderId="0" xfId="0" applyNumberFormat="1" applyFont="1" applyFill="1" applyAlignment="1">
      <alignment horizontal="center"/>
    </xf>
    <xf numFmtId="1" fontId="9" fillId="9" borderId="0" xfId="0" applyNumberFormat="1" applyFont="1" applyFill="1" applyAlignment="1">
      <alignment horizontal="center"/>
    </xf>
    <xf numFmtId="164" fontId="3" fillId="0" borderId="0" xfId="0" applyNumberFormat="1" applyFont="1" applyAlignment="1">
      <alignment horizontal="center"/>
    </xf>
    <xf numFmtId="166" fontId="2" fillId="0" borderId="0" xfId="0" applyNumberFormat="1" applyFont="1" applyAlignment="1">
      <alignment horizontal="left" vertical="top"/>
    </xf>
    <xf numFmtId="166" fontId="2" fillId="0" borderId="0" xfId="0" applyNumberFormat="1" applyFont="1" applyAlignment="1">
      <alignment vertical="top"/>
    </xf>
    <xf numFmtId="1" fontId="10" fillId="0" borderId="0" xfId="0" applyNumberFormat="1" applyFont="1" applyAlignment="1">
      <alignment horizontal="center" vertical="top"/>
    </xf>
    <xf numFmtId="2" fontId="7" fillId="9" borderId="0" xfId="0" applyNumberFormat="1" applyFont="1" applyFill="1" applyAlignment="1">
      <alignment horizontal="center" wrapText="1"/>
    </xf>
    <xf numFmtId="164" fontId="7" fillId="9" borderId="0" xfId="0" applyNumberFormat="1" applyFont="1" applyFill="1" applyAlignment="1">
      <alignment horizontal="center" wrapText="1"/>
    </xf>
    <xf numFmtId="164" fontId="11" fillId="9" borderId="0" xfId="0" applyNumberFormat="1" applyFont="1" applyFill="1" applyAlignment="1">
      <alignment horizontal="center" wrapText="1"/>
    </xf>
    <xf numFmtId="165" fontId="11" fillId="9" borderId="0" xfId="0" applyNumberFormat="1" applyFont="1" applyFill="1" applyAlignment="1">
      <alignment horizontal="center" wrapText="1"/>
    </xf>
    <xf numFmtId="165" fontId="7" fillId="9" borderId="0" xfId="0" applyNumberFormat="1" applyFont="1" applyFill="1" applyAlignment="1">
      <alignment horizontal="center" wrapText="1"/>
    </xf>
    <xf numFmtId="164" fontId="12" fillId="9" borderId="0" xfId="0" applyNumberFormat="1" applyFont="1" applyFill="1" applyAlignment="1">
      <alignment horizontal="center" wrapText="1"/>
    </xf>
    <xf numFmtId="1" fontId="12" fillId="9" borderId="0" xfId="0" applyNumberFormat="1" applyFont="1" applyFill="1" applyAlignment="1">
      <alignment horizontal="center" wrapText="1"/>
    </xf>
    <xf numFmtId="2" fontId="3" fillId="2" borderId="0" xfId="0" applyNumberFormat="1" applyFont="1" applyFill="1" applyAlignment="1">
      <alignment horizontal="center" vertical="top"/>
    </xf>
    <xf numFmtId="164" fontId="3" fillId="2" borderId="0" xfId="0" applyNumberFormat="1" applyFont="1" applyFill="1" applyAlignment="1">
      <alignment horizontal="center" vertical="top"/>
    </xf>
    <xf numFmtId="2" fontId="11" fillId="9" borderId="0" xfId="0" applyNumberFormat="1" applyFont="1" applyFill="1" applyAlignment="1">
      <alignment horizontal="center" wrapText="1"/>
    </xf>
    <xf numFmtId="2" fontId="10" fillId="0" borderId="0" xfId="0" applyNumberFormat="1" applyFont="1" applyAlignment="1">
      <alignment horizontal="center" vertical="top"/>
    </xf>
    <xf numFmtId="164" fontId="10" fillId="0" borderId="0" xfId="0" applyNumberFormat="1" applyFont="1" applyAlignment="1">
      <alignment horizontal="center" vertical="top"/>
    </xf>
    <xf numFmtId="165" fontId="10" fillId="0" borderId="0" xfId="0" applyNumberFormat="1" applyFont="1" applyAlignment="1">
      <alignment horizontal="center" vertical="top"/>
    </xf>
    <xf numFmtId="0" fontId="12" fillId="0" borderId="0" xfId="0" applyFont="1" applyAlignment="1">
      <alignment horizontal="center" vertical="top"/>
    </xf>
    <xf numFmtId="164" fontId="13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164" fontId="6" fillId="0" borderId="0" xfId="0" applyNumberFormat="1" applyFont="1" applyAlignment="1">
      <alignment horizontal="center"/>
    </xf>
    <xf numFmtId="164" fontId="12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/>
    </xf>
    <xf numFmtId="165" fontId="12" fillId="0" borderId="0" xfId="0" applyNumberFormat="1" applyFont="1" applyAlignment="1">
      <alignment horizontal="center"/>
    </xf>
    <xf numFmtId="165" fontId="6" fillId="0" borderId="0" xfId="0" applyNumberFormat="1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4" fillId="0" borderId="0" xfId="0" applyFont="1" applyAlignment="1">
      <alignment horizontal="left"/>
    </xf>
    <xf numFmtId="0" fontId="14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7" fillId="9" borderId="0" xfId="0" applyNumberFormat="1" applyFont="1" applyFill="1" applyAlignment="1">
      <alignment horizontal="center" vertical="top" wrapText="1"/>
    </xf>
    <xf numFmtId="0" fontId="7" fillId="9" borderId="0" xfId="0" applyFont="1" applyFill="1" applyAlignment="1">
      <alignment horizontal="center" vertical="top" wrapText="1"/>
    </xf>
    <xf numFmtId="2" fontId="12" fillId="0" borderId="0" xfId="0" applyNumberFormat="1" applyFont="1" applyAlignment="1">
      <alignment horizontal="center"/>
    </xf>
    <xf numFmtId="0" fontId="13" fillId="0" borderId="0" xfId="0" applyFont="1" applyAlignment="1">
      <alignment horizontal="center" vertical="top"/>
    </xf>
    <xf numFmtId="2" fontId="13" fillId="0" borderId="0" xfId="0" applyNumberFormat="1" applyFont="1" applyAlignment="1">
      <alignment horizontal="center" vertical="top"/>
    </xf>
    <xf numFmtId="2" fontId="0" fillId="9" borderId="0" xfId="0" applyNumberFormat="1" applyFill="1" applyAlignment="1">
      <alignment horizontal="center" vertical="top"/>
    </xf>
    <xf numFmtId="164" fontId="13" fillId="0" borderId="0" xfId="0" applyNumberFormat="1" applyFont="1" applyAlignment="1">
      <alignment horizontal="center" vertical="top"/>
    </xf>
    <xf numFmtId="164" fontId="0" fillId="0" borderId="0" xfId="0" applyNumberFormat="1" applyAlignment="1">
      <alignment horizontal="center" vertical="top"/>
    </xf>
    <xf numFmtId="164" fontId="0" fillId="9" borderId="0" xfId="0" applyNumberFormat="1" applyFill="1" applyAlignment="1">
      <alignment horizontal="center" vertical="top"/>
    </xf>
    <xf numFmtId="165" fontId="13" fillId="0" borderId="0" xfId="0" applyNumberFormat="1" applyFont="1" applyAlignment="1">
      <alignment horizontal="center" vertical="top"/>
    </xf>
    <xf numFmtId="2" fontId="0" fillId="9" borderId="0" xfId="0" applyNumberFormat="1" applyFill="1" applyAlignment="1">
      <alignment horizontal="center" wrapText="1"/>
    </xf>
    <xf numFmtId="0" fontId="7" fillId="0" borderId="0" xfId="0" applyFont="1" applyAlignment="1">
      <alignment horizontal="center"/>
    </xf>
    <xf numFmtId="2" fontId="7" fillId="0" borderId="0" xfId="0" applyNumberFormat="1" applyFont="1" applyAlignment="1">
      <alignment horizontal="center"/>
    </xf>
    <xf numFmtId="164" fontId="7" fillId="0" borderId="0" xfId="0" applyNumberFormat="1" applyFont="1" applyAlignment="1">
      <alignment horizontal="center"/>
    </xf>
    <xf numFmtId="165" fontId="7" fillId="0" borderId="0" xfId="0" applyNumberFormat="1" applyFont="1" applyAlignment="1">
      <alignment horizontal="center"/>
    </xf>
    <xf numFmtId="1" fontId="7" fillId="0" borderId="0" xfId="0" applyNumberFormat="1" applyFont="1" applyAlignment="1">
      <alignment horizontal="center"/>
    </xf>
    <xf numFmtId="165" fontId="6" fillId="0" borderId="0" xfId="0" applyNumberFormat="1" applyFont="1" applyAlignment="1">
      <alignment horizontal="center" vertical="top"/>
    </xf>
    <xf numFmtId="1" fontId="13" fillId="0" borderId="0" xfId="0" applyNumberFormat="1" applyFont="1" applyAlignment="1">
      <alignment horizontal="center"/>
    </xf>
    <xf numFmtId="1" fontId="15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/>
    </xf>
    <xf numFmtId="165" fontId="16" fillId="0" borderId="0" xfId="0" applyNumberFormat="1" applyFont="1"/>
    <xf numFmtId="165" fontId="17" fillId="0" borderId="0" xfId="0" applyNumberFormat="1" applyFont="1"/>
    <xf numFmtId="4" fontId="3" fillId="0" borderId="0" xfId="0" applyNumberFormat="1" applyFont="1" applyAlignment="1">
      <alignment horizontal="center" vertical="top"/>
    </xf>
    <xf numFmtId="164" fontId="5" fillId="0" borderId="0" xfId="0" applyNumberFormat="1" applyFont="1" applyAlignment="1">
      <alignment horizontal="left" wrapText="1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center" wrapText="1"/>
    </xf>
    <xf numFmtId="0" fontId="18" fillId="9" borderId="0" xfId="0" applyFont="1" applyFill="1" applyAlignment="1">
      <alignment horizontal="left" wrapText="1"/>
    </xf>
    <xf numFmtId="164" fontId="0" fillId="0" borderId="0" xfId="0" applyNumberFormat="1"/>
    <xf numFmtId="164" fontId="3" fillId="0" borderId="0" xfId="0" applyNumberFormat="1" applyFont="1"/>
    <xf numFmtId="167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center" vertical="top"/>
    </xf>
    <xf numFmtId="166" fontId="7" fillId="9" borderId="0" xfId="0" applyNumberFormat="1" applyFont="1" applyFill="1" applyAlignment="1">
      <alignment horizontal="center" vertical="top" wrapText="1"/>
    </xf>
    <xf numFmtId="166" fontId="3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9" fillId="9" borderId="0" xfId="0" applyFont="1" applyFill="1" applyAlignment="1">
      <alignment horizontal="right"/>
    </xf>
    <xf numFmtId="0" fontId="19" fillId="9" borderId="0" xfId="0" applyFont="1" applyFill="1" applyAlignment="1">
      <alignment horizontal="right"/>
    </xf>
    <xf numFmtId="49" fontId="3" fillId="0" borderId="0" xfId="0" applyNumberFormat="1" applyFont="1" applyAlignment="1">
      <alignment horizontal="center" vertical="top"/>
    </xf>
    <xf numFmtId="166" fontId="20" fillId="0" borderId="0" xfId="0" applyNumberFormat="1" applyFont="1" applyAlignment="1">
      <alignment horizontal="right"/>
    </xf>
    <xf numFmtId="0" fontId="12" fillId="9" borderId="0" xfId="0" applyFont="1" applyFill="1" applyAlignment="1">
      <alignment horizontal="left" wrapText="1"/>
    </xf>
    <xf numFmtId="168" fontId="3" fillId="0" borderId="0" xfId="0" applyNumberFormat="1" applyFont="1" applyAlignment="1">
      <alignment horizontal="center" vertical="top"/>
    </xf>
    <xf numFmtId="169" fontId="3" fillId="0" borderId="0" xfId="0" applyNumberFormat="1" applyFont="1" applyAlignment="1">
      <alignment horizontal="center" vertical="top"/>
    </xf>
    <xf numFmtId="0" fontId="13" fillId="0" borderId="0" xfId="0" applyFont="1" applyAlignment="1">
      <alignment horizontal="center" vertical="center"/>
    </xf>
    <xf numFmtId="16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top"/>
    </xf>
    <xf numFmtId="168" fontId="10" fillId="0" borderId="0" xfId="0" applyNumberFormat="1" applyFont="1" applyAlignment="1">
      <alignment horizontal="center" vertical="top"/>
    </xf>
    <xf numFmtId="166" fontId="10" fillId="0" borderId="0" xfId="0" applyNumberFormat="1" applyFont="1" applyAlignment="1">
      <alignment horizontal="center" vertical="top"/>
    </xf>
    <xf numFmtId="3" fontId="3" fillId="0" borderId="0" xfId="0" applyNumberFormat="1" applyFont="1" applyAlignment="1">
      <alignment horizontal="center" vertical="top"/>
    </xf>
    <xf numFmtId="0" fontId="0" fillId="0" borderId="0" xfId="0" applyAlignment="1">
      <alignment horizontal="center"/>
    </xf>
    <xf numFmtId="0" fontId="6" fillId="0" borderId="0" xfId="0" applyFont="1"/>
    <xf numFmtId="164" fontId="12" fillId="0" borderId="0" xfId="0" applyNumberFormat="1" applyFont="1"/>
    <xf numFmtId="0" fontId="12" fillId="0" borderId="0" xfId="0" applyFont="1"/>
    <xf numFmtId="169" fontId="12" fillId="0" borderId="0" xfId="0" applyNumberFormat="1" applyFont="1"/>
    <xf numFmtId="169" fontId="7" fillId="9" borderId="0" xfId="0" applyNumberFormat="1" applyFont="1" applyFill="1" applyAlignment="1">
      <alignment horizontal="center" vertical="top" wrapText="1"/>
    </xf>
    <xf numFmtId="3" fontId="7" fillId="9" borderId="0" xfId="0" applyNumberFormat="1" applyFont="1" applyFill="1" applyAlignment="1">
      <alignment horizontal="center" vertical="top" wrapText="1"/>
    </xf>
    <xf numFmtId="0" fontId="3" fillId="0" borderId="0" xfId="0" applyFont="1" applyAlignment="1">
      <alignment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left" vertical="top"/>
    </xf>
    <xf numFmtId="0" fontId="1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0" fillId="0" borderId="0" xfId="0"/>
    <xf numFmtId="0" fontId="1" fillId="2" borderId="0" xfId="0" applyFont="1" applyFill="1" applyAlignment="1">
      <alignment horizontal="center" vertical="top"/>
    </xf>
    <xf numFmtId="0" fontId="1" fillId="3" borderId="0" xfId="0" applyFont="1" applyFill="1" applyAlignment="1">
      <alignment horizontal="center" vertical="top"/>
    </xf>
    <xf numFmtId="0" fontId="1" fillId="3" borderId="0" xfId="0" applyFont="1" applyFill="1" applyAlignment="1">
      <alignment horizontal="center" vertical="top" wrapText="1"/>
    </xf>
    <xf numFmtId="0" fontId="1" fillId="7" borderId="0" xfId="0" applyFont="1" applyFill="1" applyAlignment="1">
      <alignment horizontal="center" vertical="top"/>
    </xf>
    <xf numFmtId="0" fontId="1" fillId="8" borderId="0" xfId="0" applyFont="1" applyFill="1" applyAlignment="1">
      <alignment horizontal="center" vertical="top"/>
    </xf>
    <xf numFmtId="0" fontId="1" fillId="4" borderId="0" xfId="0" applyFont="1" applyFill="1" applyAlignment="1">
      <alignment horizontal="center" vertical="top"/>
    </xf>
    <xf numFmtId="0" fontId="1" fillId="5" borderId="0" xfId="0" applyFont="1" applyFill="1" applyAlignment="1">
      <alignment horizontal="center" vertical="top"/>
    </xf>
    <xf numFmtId="0" fontId="1" fillId="6" borderId="0" xfId="0" applyFont="1" applyFill="1" applyAlignment="1">
      <alignment horizontal="center" vertical="top"/>
    </xf>
    <xf numFmtId="0" fontId="3" fillId="0" borderId="0" xfId="0" applyFont="1" applyAlignment="1">
      <alignment horizontal="left"/>
    </xf>
    <xf numFmtId="164" fontId="3" fillId="0" borderId="0" xfId="0" applyNumberFormat="1" applyFont="1" applyAlignment="1">
      <alignment horizontal="left" vertical="top"/>
    </xf>
    <xf numFmtId="165" fontId="6" fillId="0" borderId="0" xfId="0" applyNumberFormat="1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E995"/>
  <sheetViews>
    <sheetView tabSelected="1" workbookViewId="0">
      <pane xSplit="2" ySplit="2" topLeftCell="C38" activePane="bottomRight" state="frozen"/>
      <selection pane="topRight" activeCell="C1" sqref="C1"/>
      <selection pane="bottomLeft" activeCell="A3" sqref="A3"/>
      <selection pane="bottomRight" activeCell="F43" sqref="F43"/>
    </sheetView>
  </sheetViews>
  <sheetFormatPr defaultColWidth="12.6328125" defaultRowHeight="15.75" customHeight="1"/>
  <cols>
    <col min="1" max="1" width="3" customWidth="1"/>
    <col min="2" max="2" width="12.7265625" customWidth="1"/>
    <col min="3" max="3" width="7.453125" customWidth="1"/>
    <col min="4" max="4" width="6.08984375" customWidth="1"/>
    <col min="5" max="5" width="5.36328125" customWidth="1"/>
    <col min="6" max="6" width="11.36328125" customWidth="1"/>
    <col min="7" max="7" width="9.36328125" customWidth="1"/>
    <col min="8" max="8" width="11.36328125" customWidth="1"/>
    <col min="9" max="9" width="9.36328125" customWidth="1"/>
    <col min="10" max="11" width="11" customWidth="1"/>
    <col min="12" max="12" width="8.7265625" customWidth="1"/>
    <col min="13" max="15" width="6.6328125" customWidth="1"/>
    <col min="16" max="16" width="10.7265625" customWidth="1"/>
    <col min="17" max="19" width="6.6328125" customWidth="1"/>
    <col min="20" max="20" width="8.36328125" customWidth="1"/>
    <col min="21" max="23" width="7.6328125" customWidth="1"/>
    <col min="24" max="24" width="9.90625" customWidth="1"/>
    <col min="25" max="26" width="7.6328125" customWidth="1"/>
    <col min="27" max="27" width="3.90625" customWidth="1"/>
    <col min="28" max="28" width="9.7265625" customWidth="1"/>
    <col min="29" max="30" width="6.6328125" customWidth="1"/>
    <col min="31" max="31" width="3.90625" customWidth="1"/>
  </cols>
  <sheetData>
    <row r="1" spans="1:31" ht="13">
      <c r="A1" s="124"/>
      <c r="B1" s="124" t="s">
        <v>0</v>
      </c>
      <c r="C1" s="126" t="s">
        <v>1</v>
      </c>
      <c r="D1" s="127" t="s">
        <v>2</v>
      </c>
      <c r="E1" s="127" t="s">
        <v>3</v>
      </c>
      <c r="F1" s="128" t="s">
        <v>4</v>
      </c>
      <c r="G1" s="128" t="s">
        <v>5</v>
      </c>
      <c r="H1" s="128" t="s">
        <v>6</v>
      </c>
      <c r="I1" s="128" t="s">
        <v>7</v>
      </c>
      <c r="J1" s="128" t="s">
        <v>8</v>
      </c>
      <c r="K1" s="128" t="s">
        <v>9</v>
      </c>
      <c r="L1" s="131" t="s">
        <v>10</v>
      </c>
      <c r="M1" s="125"/>
      <c r="N1" s="125"/>
      <c r="O1" s="125"/>
      <c r="P1" s="132" t="s">
        <v>11</v>
      </c>
      <c r="Q1" s="125"/>
      <c r="R1" s="125"/>
      <c r="S1" s="125"/>
      <c r="T1" s="133" t="s">
        <v>12</v>
      </c>
      <c r="U1" s="125"/>
      <c r="V1" s="125"/>
      <c r="W1" s="125"/>
      <c r="X1" s="129" t="s">
        <v>13</v>
      </c>
      <c r="Y1" s="125"/>
      <c r="Z1" s="125"/>
      <c r="AA1" s="125"/>
      <c r="AB1" s="130" t="s">
        <v>14</v>
      </c>
      <c r="AC1" s="125"/>
      <c r="AD1" s="125"/>
      <c r="AE1" s="125"/>
    </row>
    <row r="2" spans="1:31" ht="13">
      <c r="A2" s="125"/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" t="s">
        <v>15</v>
      </c>
      <c r="M2" s="1" t="s">
        <v>16</v>
      </c>
      <c r="N2" s="1" t="s">
        <v>17</v>
      </c>
      <c r="O2" s="1" t="s">
        <v>18</v>
      </c>
      <c r="P2" s="2" t="s">
        <v>15</v>
      </c>
      <c r="Q2" s="2" t="s">
        <v>16</v>
      </c>
      <c r="R2" s="2" t="s">
        <v>17</v>
      </c>
      <c r="S2" s="2" t="s">
        <v>18</v>
      </c>
      <c r="T2" s="3" t="s">
        <v>15</v>
      </c>
      <c r="U2" s="3" t="s">
        <v>16</v>
      </c>
      <c r="V2" s="3" t="s">
        <v>17</v>
      </c>
      <c r="W2" s="3" t="s">
        <v>18</v>
      </c>
      <c r="X2" s="4" t="s">
        <v>15</v>
      </c>
      <c r="Y2" s="4" t="s">
        <v>16</v>
      </c>
      <c r="Z2" s="4" t="s">
        <v>17</v>
      </c>
      <c r="AA2" s="4" t="s">
        <v>18</v>
      </c>
      <c r="AB2" s="5" t="s">
        <v>15</v>
      </c>
      <c r="AC2" s="5" t="s">
        <v>16</v>
      </c>
      <c r="AD2" s="5" t="s">
        <v>17</v>
      </c>
      <c r="AE2" s="5" t="s">
        <v>18</v>
      </c>
    </row>
    <row r="3" spans="1:31" ht="14">
      <c r="A3" s="6">
        <v>1</v>
      </c>
      <c r="B3" s="6" t="s">
        <v>19</v>
      </c>
      <c r="C3" s="6" t="s">
        <v>20</v>
      </c>
      <c r="D3" s="8">
        <v>183</v>
      </c>
      <c r="E3" s="8">
        <v>389</v>
      </c>
      <c r="F3" s="8">
        <v>40</v>
      </c>
      <c r="G3" s="9">
        <v>3857.42</v>
      </c>
      <c r="H3" s="9">
        <v>14.33</v>
      </c>
      <c r="I3" s="9">
        <v>1236.3800000000001</v>
      </c>
      <c r="J3" s="10">
        <v>0.36459999999999998</v>
      </c>
      <c r="K3" s="10">
        <v>0.57340000000000002</v>
      </c>
      <c r="L3" s="11">
        <v>2.3400000000000001E-2</v>
      </c>
      <c r="M3" s="10">
        <v>7.1000000000000004E-3</v>
      </c>
      <c r="N3" s="10">
        <v>5.4899999999999997E-2</v>
      </c>
      <c r="O3" s="10">
        <v>1.0999999999999999E-2</v>
      </c>
      <c r="P3" s="10">
        <v>7.51E-2</v>
      </c>
      <c r="Q3" s="10">
        <v>1.9800000000000002E-2</v>
      </c>
      <c r="R3" s="10">
        <v>0.1164</v>
      </c>
      <c r="S3" s="10">
        <v>3.9100000000000003E-2</v>
      </c>
      <c r="T3" s="12">
        <v>8.9999999999999998E-4</v>
      </c>
      <c r="U3" s="12">
        <v>2.0000000000000001E-4</v>
      </c>
      <c r="V3" s="12">
        <v>1.2999999999999999E-3</v>
      </c>
      <c r="W3" s="12">
        <v>4.0000000000000002E-4</v>
      </c>
      <c r="X3" s="12">
        <v>7.3599999999999999E-2</v>
      </c>
      <c r="Y3" s="12">
        <v>7.1800000000000003E-2</v>
      </c>
      <c r="Z3" s="12">
        <v>0.37469999999999998</v>
      </c>
      <c r="AA3" s="13">
        <v>0</v>
      </c>
      <c r="AB3" s="10">
        <v>7.4700000000000003E-2</v>
      </c>
      <c r="AC3" s="10">
        <v>6.9000000000000006E-2</v>
      </c>
      <c r="AD3" s="10">
        <v>0.34789999999999999</v>
      </c>
      <c r="AE3" s="13">
        <v>0</v>
      </c>
    </row>
    <row r="4" spans="1:31" ht="14">
      <c r="A4" s="6">
        <v>2</v>
      </c>
      <c r="B4" s="6" t="s">
        <v>21</v>
      </c>
      <c r="C4" s="6" t="s">
        <v>22</v>
      </c>
      <c r="D4" s="14">
        <v>174</v>
      </c>
      <c r="E4" s="14">
        <v>374</v>
      </c>
      <c r="F4" s="8">
        <v>46</v>
      </c>
      <c r="G4" s="9">
        <v>4398.75</v>
      </c>
      <c r="H4" s="9">
        <v>14.2878214072154</v>
      </c>
      <c r="I4" s="9">
        <v>1315.9551917420199</v>
      </c>
      <c r="J4" s="10">
        <v>0.718992248062015</v>
      </c>
      <c r="K4" s="10">
        <v>0.57725947521865895</v>
      </c>
      <c r="L4" s="10">
        <v>2.4799999999999999E-2</v>
      </c>
      <c r="M4" s="10">
        <v>8.8000000000000005E-3</v>
      </c>
      <c r="N4" s="10">
        <v>6.9400000000000003E-2</v>
      </c>
      <c r="O4" s="10">
        <v>1.1599999999999999E-2</v>
      </c>
      <c r="P4" s="10">
        <v>7.4499999999999997E-2</v>
      </c>
      <c r="Q4" s="10">
        <v>1.72E-2</v>
      </c>
      <c r="R4" s="10">
        <v>0.1042</v>
      </c>
      <c r="S4" s="10">
        <v>3.5799999999999998E-2</v>
      </c>
      <c r="T4" s="12">
        <v>8.0000000000000004E-4</v>
      </c>
      <c r="U4" s="12">
        <v>2.0000000000000001E-4</v>
      </c>
      <c r="V4" s="12">
        <v>1.1999999999999999E-3</v>
      </c>
      <c r="W4" s="12">
        <v>4.0000000000000002E-4</v>
      </c>
      <c r="X4" s="12">
        <v>7.7299999999999994E-2</v>
      </c>
      <c r="Y4" s="12">
        <v>6.59E-2</v>
      </c>
      <c r="Z4" s="12">
        <v>0.31869999999999998</v>
      </c>
      <c r="AA4" s="13">
        <v>0</v>
      </c>
      <c r="AB4" s="10">
        <v>7.7600000000000002E-2</v>
      </c>
      <c r="AC4" s="10">
        <v>6.7000000000000004E-2</v>
      </c>
      <c r="AD4" s="10">
        <v>0.3125</v>
      </c>
      <c r="AE4" s="13">
        <v>0</v>
      </c>
    </row>
    <row r="5" spans="1:31" ht="14">
      <c r="A5" s="6">
        <v>3</v>
      </c>
      <c r="B5" s="6" t="s">
        <v>23</v>
      </c>
      <c r="C5" s="6" t="s">
        <v>24</v>
      </c>
      <c r="D5" s="8">
        <v>167</v>
      </c>
      <c r="E5" s="8">
        <v>358</v>
      </c>
      <c r="F5" s="8">
        <v>35</v>
      </c>
      <c r="G5" s="9">
        <v>4774.4151000000002</v>
      </c>
      <c r="H5" s="15">
        <v>13.263299999999999</v>
      </c>
      <c r="I5" s="9">
        <v>1596.86</v>
      </c>
      <c r="J5" s="10">
        <v>0.36159999999999998</v>
      </c>
      <c r="K5" s="10">
        <v>3.95E-2</v>
      </c>
      <c r="L5" s="16">
        <v>1.2914E-2</v>
      </c>
      <c r="M5" s="16">
        <v>4.235E-3</v>
      </c>
      <c r="N5" s="16">
        <v>3.6144999999999997E-2</v>
      </c>
      <c r="O5" s="16">
        <v>6.0239999999999998E-3</v>
      </c>
      <c r="P5" s="16">
        <v>7.8791E-2</v>
      </c>
      <c r="Q5" s="16">
        <v>1.5973000000000001E-2</v>
      </c>
      <c r="R5" s="16">
        <v>0.109571</v>
      </c>
      <c r="S5" s="16">
        <v>4.2993999999999997E-2</v>
      </c>
      <c r="T5" s="17">
        <v>6.69E-4</v>
      </c>
      <c r="U5" s="17">
        <v>1.6100000000000001E-4</v>
      </c>
      <c r="V5" s="17">
        <v>9.4300000000000004E-4</v>
      </c>
      <c r="W5" s="17">
        <v>3.1799999999999998E-4</v>
      </c>
      <c r="X5" s="17">
        <v>7.4323E-2</v>
      </c>
      <c r="Y5" s="17">
        <v>7.2994000000000003E-2</v>
      </c>
      <c r="Z5" s="17">
        <v>0.439168</v>
      </c>
      <c r="AA5" s="18">
        <v>0</v>
      </c>
      <c r="AB5" s="16">
        <v>7.5328000000000006E-2</v>
      </c>
      <c r="AC5" s="16">
        <v>7.1237999999999996E-2</v>
      </c>
      <c r="AD5" s="16">
        <v>0.43797000000000003</v>
      </c>
      <c r="AE5" s="13">
        <v>0</v>
      </c>
    </row>
    <row r="6" spans="1:31" ht="14">
      <c r="A6" s="6">
        <v>4</v>
      </c>
      <c r="B6" s="6" t="s">
        <v>25</v>
      </c>
      <c r="C6" s="6" t="s">
        <v>24</v>
      </c>
      <c r="D6" s="8">
        <v>132</v>
      </c>
      <c r="E6" s="8">
        <v>304</v>
      </c>
      <c r="F6" s="8">
        <v>24</v>
      </c>
      <c r="G6" s="19">
        <v>5835.3050595238001</v>
      </c>
      <c r="H6" s="19">
        <v>9.5679999999999996</v>
      </c>
      <c r="I6" s="9">
        <v>2157.2800000000002</v>
      </c>
      <c r="J6" s="10">
        <f>E6/(3*D6-6)</f>
        <v>0.77948717948717949</v>
      </c>
      <c r="K6" s="10">
        <f>(E6-D6+1)/(2*D6-5)</f>
        <v>0.66795366795366795</v>
      </c>
      <c r="L6" s="16">
        <v>3.5200000000000002E-2</v>
      </c>
      <c r="M6" s="16">
        <v>1.37E-2</v>
      </c>
      <c r="N6" s="16">
        <v>0.122137404580152</v>
      </c>
      <c r="O6" s="16">
        <v>1.5267175572519E-2</v>
      </c>
      <c r="P6" s="16">
        <v>0.1119</v>
      </c>
      <c r="Q6" s="16">
        <v>2.9399999999999999E-2</v>
      </c>
      <c r="R6" s="16">
        <v>0.18398876404494299</v>
      </c>
      <c r="S6" s="16">
        <v>6.3468992248062003E-2</v>
      </c>
      <c r="T6" s="12">
        <v>4.8999999999999998E-4</v>
      </c>
      <c r="U6" s="12">
        <v>1.2E-4</v>
      </c>
      <c r="V6" s="12">
        <v>2.7E-4</v>
      </c>
      <c r="W6" s="12">
        <v>7.6999999999999996E-4</v>
      </c>
      <c r="X6" s="17">
        <v>6.59E-2</v>
      </c>
      <c r="Y6" s="17">
        <v>8.8200000000000001E-2</v>
      </c>
      <c r="Z6" s="17">
        <v>0.69168460886018102</v>
      </c>
      <c r="AA6" s="18">
        <v>0</v>
      </c>
      <c r="AB6" s="10">
        <v>7.1150000000000005E-2</v>
      </c>
      <c r="AC6" s="10">
        <v>8.5620000000000002E-2</v>
      </c>
      <c r="AD6" s="10">
        <v>0.57962000000000002</v>
      </c>
      <c r="AE6" s="13">
        <v>0</v>
      </c>
    </row>
    <row r="7" spans="1:31" ht="14">
      <c r="A7" s="6">
        <v>5</v>
      </c>
      <c r="B7" s="6" t="s">
        <v>26</v>
      </c>
      <c r="C7" s="6" t="s">
        <v>20</v>
      </c>
      <c r="D7" s="8">
        <v>166</v>
      </c>
      <c r="E7" s="8">
        <v>357</v>
      </c>
      <c r="F7" s="8">
        <v>48</v>
      </c>
      <c r="G7" s="20">
        <v>3686.5994012945298</v>
      </c>
      <c r="H7" s="20">
        <v>17.174297188754998</v>
      </c>
      <c r="I7" s="21">
        <v>1411.3859043677101</v>
      </c>
      <c r="J7" s="10">
        <v>0.72560975609756095</v>
      </c>
      <c r="K7" s="22">
        <v>0.58715596330275199</v>
      </c>
      <c r="L7" s="10">
        <v>2.60679079956188E-2</v>
      </c>
      <c r="M7" s="10">
        <v>7.6276392009934097E-3</v>
      </c>
      <c r="N7" s="16">
        <v>7.2727272727272696E-2</v>
      </c>
      <c r="O7" s="10">
        <v>1.21212121212121E-2</v>
      </c>
      <c r="P7" s="10">
        <v>6.3562926666877198E-2</v>
      </c>
      <c r="Q7" s="10">
        <v>1.77925654070441E-2</v>
      </c>
      <c r="R7" s="10">
        <v>9.8389982110912294E-2</v>
      </c>
      <c r="S7" s="10">
        <v>2.9522275899087399E-2</v>
      </c>
      <c r="T7" s="12">
        <v>7.6385299245612995E-4</v>
      </c>
      <c r="U7" s="12">
        <v>2.0049512559261701E-4</v>
      </c>
      <c r="V7" s="12">
        <v>1.16829584543463E-3</v>
      </c>
      <c r="W7" s="12">
        <v>3.7978538080603801E-4</v>
      </c>
      <c r="X7" s="12">
        <v>9.8623763346067095E-2</v>
      </c>
      <c r="Y7" s="12">
        <v>9.5622271390858105E-2</v>
      </c>
      <c r="Z7" s="12">
        <v>0.45875831485587498</v>
      </c>
      <c r="AA7" s="13">
        <v>0</v>
      </c>
      <c r="AB7" s="10">
        <v>9.9427310127427601E-2</v>
      </c>
      <c r="AC7" s="10">
        <v>9.34737650242847E-2</v>
      </c>
      <c r="AD7" s="10">
        <v>0.45757575757575703</v>
      </c>
      <c r="AE7" s="13">
        <v>0</v>
      </c>
    </row>
    <row r="8" spans="1:31" ht="14">
      <c r="A8" s="6">
        <v>6</v>
      </c>
      <c r="B8" s="6" t="s">
        <v>27</v>
      </c>
      <c r="C8" s="6" t="s">
        <v>24</v>
      </c>
      <c r="D8" s="8">
        <v>128</v>
      </c>
      <c r="E8" s="8">
        <v>138</v>
      </c>
      <c r="F8" s="8">
        <v>32</v>
      </c>
      <c r="G8" s="9">
        <v>6526</v>
      </c>
      <c r="H8" s="9">
        <v>12.862500000000001</v>
      </c>
      <c r="I8" s="9">
        <v>2469</v>
      </c>
      <c r="J8" s="10">
        <v>0.36509999999999998</v>
      </c>
      <c r="K8" s="10">
        <v>4.3799999999999999E-2</v>
      </c>
      <c r="L8" s="10">
        <v>3.4000000000000002E-2</v>
      </c>
      <c r="M8" s="10">
        <v>0.01</v>
      </c>
      <c r="N8" s="10">
        <v>7.9000000000000001E-2</v>
      </c>
      <c r="O8" s="10">
        <v>1.6E-2</v>
      </c>
      <c r="P8" s="10">
        <v>8.2000000000000003E-2</v>
      </c>
      <c r="Q8" s="10">
        <v>1.7999999999999999E-2</v>
      </c>
      <c r="R8" s="10">
        <v>0.11899999999999999</v>
      </c>
      <c r="S8" s="10">
        <v>5.1999999999999998E-2</v>
      </c>
      <c r="T8" s="12">
        <v>4.28E-4</v>
      </c>
      <c r="U8" s="12">
        <v>9.8999999999999994E-5</v>
      </c>
      <c r="V8" s="12">
        <v>6.2399999999999999E-4</v>
      </c>
      <c r="W8" s="12">
        <v>2.33E-4</v>
      </c>
      <c r="X8" s="12">
        <v>9.4E-2</v>
      </c>
      <c r="Y8" s="12">
        <v>7.6999999999999999E-2</v>
      </c>
      <c r="Z8" s="12">
        <v>0.35199999999999998</v>
      </c>
      <c r="AA8" s="13">
        <v>0</v>
      </c>
      <c r="AB8" s="10">
        <v>9.5000000000000001E-2</v>
      </c>
      <c r="AC8" s="10">
        <v>7.5999999999999998E-2</v>
      </c>
      <c r="AD8" s="10">
        <v>0.33800000000000002</v>
      </c>
      <c r="AE8" s="13">
        <v>0</v>
      </c>
    </row>
    <row r="9" spans="1:31" ht="14">
      <c r="A9" s="6">
        <v>7</v>
      </c>
      <c r="B9" s="6" t="s">
        <v>28</v>
      </c>
      <c r="C9" s="6" t="s">
        <v>22</v>
      </c>
      <c r="D9" s="8">
        <v>142</v>
      </c>
      <c r="E9" s="8">
        <v>293</v>
      </c>
      <c r="F9" s="8">
        <v>39</v>
      </c>
      <c r="G9" s="9">
        <v>5017.965381</v>
      </c>
      <c r="H9" s="9">
        <v>15.562281</v>
      </c>
      <c r="I9" s="9">
        <v>1971.447152</v>
      </c>
      <c r="J9" s="23">
        <v>0.69761899999999999</v>
      </c>
      <c r="K9" s="10">
        <v>0.54480300000000004</v>
      </c>
      <c r="L9" s="10">
        <v>2.9267999999999999E-2</v>
      </c>
      <c r="M9" s="10">
        <v>8.5360000000000002E-3</v>
      </c>
      <c r="N9" s="10">
        <v>7.8014E-2</v>
      </c>
      <c r="O9" s="10">
        <v>1.4184E-2</v>
      </c>
      <c r="P9" s="10">
        <v>6.8284999999999998E-2</v>
      </c>
      <c r="Q9" s="10">
        <v>1.7017000000000001E-2</v>
      </c>
      <c r="R9" s="10">
        <v>0.108295</v>
      </c>
      <c r="S9" s="10">
        <v>3.8503999999999997E-2</v>
      </c>
      <c r="T9" s="12">
        <v>4.9100000000000001E-4</v>
      </c>
      <c r="U9" s="12">
        <v>1.22E-4</v>
      </c>
      <c r="V9" s="12">
        <v>7.6800000000000002E-4</v>
      </c>
      <c r="W9" s="12">
        <v>2.9399999999999999E-4</v>
      </c>
      <c r="X9" s="12">
        <v>0.104142</v>
      </c>
      <c r="Y9" s="12">
        <v>0.1128</v>
      </c>
      <c r="Z9" s="12">
        <v>0.64050200000000002</v>
      </c>
      <c r="AA9" s="13">
        <v>0</v>
      </c>
      <c r="AB9" s="10">
        <v>0.106222</v>
      </c>
      <c r="AC9" s="10">
        <v>0.11294700000000001</v>
      </c>
      <c r="AD9" s="10">
        <v>0.64310999999999996</v>
      </c>
      <c r="AE9" s="13">
        <v>0</v>
      </c>
    </row>
    <row r="10" spans="1:31" ht="14">
      <c r="A10" s="6">
        <v>8</v>
      </c>
      <c r="B10" s="6" t="s">
        <v>29</v>
      </c>
      <c r="C10" s="6" t="s">
        <v>24</v>
      </c>
      <c r="D10" s="8">
        <v>87</v>
      </c>
      <c r="E10" s="8">
        <v>179</v>
      </c>
      <c r="F10" s="8">
        <v>35</v>
      </c>
      <c r="G10" s="20">
        <v>4906.8028130000002</v>
      </c>
      <c r="H10" s="9">
        <v>13.30419674</v>
      </c>
      <c r="I10" s="9">
        <v>1594.8518220000001</v>
      </c>
      <c r="J10" s="10">
        <v>0.70196078399999995</v>
      </c>
      <c r="K10" s="10">
        <v>0.55029585800000003</v>
      </c>
      <c r="L10" s="10">
        <v>4.7848169000000003E-2</v>
      </c>
      <c r="M10" s="10">
        <v>1.2886E-2</v>
      </c>
      <c r="N10" s="10">
        <v>9.3023255999999999E-2</v>
      </c>
      <c r="O10" s="10">
        <v>2.3255814E-2</v>
      </c>
      <c r="P10" s="10">
        <v>8.0571309999999993E-2</v>
      </c>
      <c r="Q10" s="10">
        <v>2.0250000000000001E-2</v>
      </c>
      <c r="R10" s="10">
        <v>0.116059379</v>
      </c>
      <c r="S10" s="10">
        <v>4.5647557999999998E-2</v>
      </c>
      <c r="T10" s="12">
        <v>6.8619299999999998E-4</v>
      </c>
      <c r="U10" s="12">
        <v>1.9171800000000001E-4</v>
      </c>
      <c r="V10" s="12">
        <v>1.0177400000000001E-3</v>
      </c>
      <c r="W10" s="12">
        <v>3.36934E-4</v>
      </c>
      <c r="X10" s="12">
        <v>0.144755256</v>
      </c>
      <c r="Y10" s="12">
        <v>9.8971852999999999E-2</v>
      </c>
      <c r="Z10" s="12">
        <v>0.47259461899999999</v>
      </c>
      <c r="AA10" s="13">
        <v>0</v>
      </c>
      <c r="AB10" s="10">
        <v>0.14595892899999999</v>
      </c>
      <c r="AC10" s="10">
        <v>0.124816</v>
      </c>
      <c r="AD10" s="10">
        <v>0.58392612899999996</v>
      </c>
      <c r="AE10" s="13">
        <v>0</v>
      </c>
    </row>
    <row r="11" spans="1:31" ht="14.5">
      <c r="A11" s="6">
        <v>9</v>
      </c>
      <c r="B11" s="6" t="s">
        <v>30</v>
      </c>
      <c r="C11" s="6" t="s">
        <v>20</v>
      </c>
      <c r="D11" s="24">
        <v>167</v>
      </c>
      <c r="E11" s="8">
        <v>195</v>
      </c>
      <c r="F11" s="24">
        <v>22</v>
      </c>
      <c r="G11" s="9">
        <v>1920</v>
      </c>
      <c r="H11" s="9">
        <v>9.7193564677873105</v>
      </c>
      <c r="I11" s="9">
        <v>912.04397757355798</v>
      </c>
      <c r="J11" s="10">
        <v>0.39</v>
      </c>
      <c r="K11" s="10">
        <v>8.7999999999999995E-2</v>
      </c>
      <c r="L11" s="25">
        <v>1.4068000000000001E-2</v>
      </c>
      <c r="M11" s="25">
        <v>5.1320000000000003E-3</v>
      </c>
      <c r="N11" s="25">
        <v>3.6144999999999997E-2</v>
      </c>
      <c r="O11" s="25">
        <v>6.0239999999999998E-3</v>
      </c>
      <c r="P11" s="26">
        <v>0.107406</v>
      </c>
      <c r="Q11" s="26">
        <v>2.1950000000000001E-2</v>
      </c>
      <c r="R11" s="26">
        <v>0.15946199999999999</v>
      </c>
      <c r="S11" s="26">
        <v>6.4716999999999997E-2</v>
      </c>
      <c r="T11" s="27">
        <v>1.1379999999999999E-3</v>
      </c>
      <c r="U11" s="27">
        <v>2.2000000000000001E-4</v>
      </c>
      <c r="V11" s="27">
        <v>1.6689999999999999E-3</v>
      </c>
      <c r="W11" s="27">
        <v>7.76E-4</v>
      </c>
      <c r="X11" s="27">
        <v>5.2845000000000003E-2</v>
      </c>
      <c r="Y11" s="27">
        <v>4.7017000000000003E-2</v>
      </c>
      <c r="Z11" s="27">
        <v>0.26146000000000003</v>
      </c>
      <c r="AA11" s="28">
        <v>0</v>
      </c>
      <c r="AB11" s="29"/>
      <c r="AC11" s="26">
        <v>4.7160000000000001E-2</v>
      </c>
      <c r="AD11" s="26">
        <v>0.306894</v>
      </c>
      <c r="AE11" s="28">
        <v>0</v>
      </c>
    </row>
    <row r="12" spans="1:31" ht="14">
      <c r="A12" s="6">
        <v>10</v>
      </c>
      <c r="B12" s="30" t="s">
        <v>31</v>
      </c>
      <c r="C12" s="30" t="s">
        <v>20</v>
      </c>
      <c r="D12" s="8">
        <v>130</v>
      </c>
      <c r="E12" s="8">
        <v>263</v>
      </c>
      <c r="F12" s="8">
        <v>41</v>
      </c>
      <c r="G12" s="9">
        <v>4198.75</v>
      </c>
      <c r="H12" s="9">
        <v>16.14</v>
      </c>
      <c r="I12" s="9">
        <v>1588.5</v>
      </c>
      <c r="J12" s="10">
        <v>0.78979999999999995</v>
      </c>
      <c r="K12" s="10">
        <v>0.68330000000000002</v>
      </c>
      <c r="L12" s="10">
        <v>3.1399999999999997E-2</v>
      </c>
      <c r="M12" s="10">
        <v>9.4000000000000004E-3</v>
      </c>
      <c r="N12" s="10">
        <v>6.2E-2</v>
      </c>
      <c r="O12" s="10">
        <v>1.55E-2</v>
      </c>
      <c r="P12" s="10">
        <v>6.5699999999999995E-2</v>
      </c>
      <c r="Q12" s="10">
        <v>1.6E-2</v>
      </c>
      <c r="R12" s="10">
        <v>9.7100000000000006E-2</v>
      </c>
      <c r="S12" s="10">
        <v>3.8800000000000001E-2</v>
      </c>
      <c r="T12" s="12">
        <v>6.9999999999999999E-4</v>
      </c>
      <c r="U12" s="12">
        <v>2.0000000000000001E-4</v>
      </c>
      <c r="V12" s="12">
        <v>1E-3</v>
      </c>
      <c r="W12" s="12">
        <v>4.0000000000000002E-4</v>
      </c>
      <c r="X12" s="12">
        <v>0.1183</v>
      </c>
      <c r="Y12" s="12">
        <v>8.7999999999999995E-2</v>
      </c>
      <c r="Z12" s="12">
        <v>0.50019999999999998</v>
      </c>
      <c r="AA12" s="13">
        <v>0</v>
      </c>
      <c r="AB12" s="10">
        <v>0.1186</v>
      </c>
      <c r="AC12" s="10">
        <v>8.6699999999999999E-2</v>
      </c>
      <c r="AD12" s="10">
        <v>0.48549999999999999</v>
      </c>
      <c r="AE12" s="13">
        <v>0</v>
      </c>
    </row>
    <row r="13" spans="1:31" ht="14">
      <c r="A13" s="6">
        <v>11</v>
      </c>
      <c r="B13" s="6" t="s">
        <v>32</v>
      </c>
      <c r="C13" s="6" t="s">
        <v>24</v>
      </c>
      <c r="D13" s="8">
        <v>73</v>
      </c>
      <c r="E13" s="8">
        <v>160</v>
      </c>
      <c r="F13" s="8">
        <v>26</v>
      </c>
      <c r="G13" s="9">
        <v>8481.9</v>
      </c>
      <c r="H13" s="9">
        <v>9.4809999999999999</v>
      </c>
      <c r="I13" s="9">
        <v>2305.6999999999998</v>
      </c>
      <c r="J13" s="10">
        <v>0.75119999999999998</v>
      </c>
      <c r="K13" s="10">
        <v>0.62409999999999999</v>
      </c>
      <c r="L13" s="10">
        <v>3.04E-2</v>
      </c>
      <c r="M13" s="10">
        <v>1.14E-2</v>
      </c>
      <c r="N13" s="10">
        <v>8.3299999999999999E-2</v>
      </c>
      <c r="O13" s="10">
        <v>1.3899999999999999E-2</v>
      </c>
      <c r="P13" s="10">
        <v>0.11210000000000001</v>
      </c>
      <c r="Q13" s="10">
        <v>2.6200000000000001E-2</v>
      </c>
      <c r="R13" s="10">
        <v>0.16289999999999999</v>
      </c>
      <c r="S13" s="10">
        <v>5.8599999999999999E-2</v>
      </c>
      <c r="T13" s="12">
        <v>5.0000000000000001E-4</v>
      </c>
      <c r="U13" s="12">
        <v>1E-4</v>
      </c>
      <c r="V13" s="12">
        <v>6.9999999999999999E-4</v>
      </c>
      <c r="W13" s="12">
        <v>2.0000000000000001E-4</v>
      </c>
      <c r="X13" s="12">
        <v>0.1195</v>
      </c>
      <c r="Y13" s="12">
        <v>0.11409999999999999</v>
      </c>
      <c r="Z13" s="12">
        <v>0.49259999999999998</v>
      </c>
      <c r="AA13" s="13">
        <v>0</v>
      </c>
      <c r="AB13" s="10">
        <v>0.12590000000000001</v>
      </c>
      <c r="AC13" s="10">
        <v>0.12</v>
      </c>
      <c r="AD13" s="10">
        <v>0.55089999999999995</v>
      </c>
      <c r="AE13" s="13">
        <v>0</v>
      </c>
    </row>
    <row r="14" spans="1:31" ht="14">
      <c r="A14" s="6">
        <v>12</v>
      </c>
      <c r="B14" s="6" t="s">
        <v>33</v>
      </c>
      <c r="C14" s="6" t="s">
        <v>20</v>
      </c>
      <c r="D14" s="32">
        <v>133</v>
      </c>
      <c r="E14" s="32">
        <v>287</v>
      </c>
      <c r="F14" s="32">
        <v>26</v>
      </c>
      <c r="G14" s="33">
        <v>2343.5430999999999</v>
      </c>
      <c r="H14" s="33">
        <v>10.321999999999999</v>
      </c>
      <c r="I14" s="33">
        <v>983.63589999999999</v>
      </c>
      <c r="J14" s="34">
        <v>0.73029999999999995</v>
      </c>
      <c r="K14" s="34">
        <v>0.59389999999999998</v>
      </c>
      <c r="L14" s="34">
        <v>3.27E-2</v>
      </c>
      <c r="M14" s="35">
        <v>1.23E-2</v>
      </c>
      <c r="N14" s="35">
        <v>7.5800000000000006E-2</v>
      </c>
      <c r="O14" s="35">
        <v>1.52E-2</v>
      </c>
      <c r="P14" s="10">
        <v>0.10100000000000001</v>
      </c>
      <c r="Q14" s="35">
        <v>2.0400000000000001E-2</v>
      </c>
      <c r="R14" s="35">
        <v>0.14219999999999999</v>
      </c>
      <c r="S14" s="35">
        <v>6.1100000000000002E-2</v>
      </c>
      <c r="T14" s="36">
        <v>1.0529999999999999E-3</v>
      </c>
      <c r="U14" s="36">
        <v>1.94E-4</v>
      </c>
      <c r="V14" s="36">
        <v>1.4940000000000001E-3</v>
      </c>
      <c r="W14" s="36">
        <v>6.9099999999999999E-4</v>
      </c>
      <c r="X14" s="37">
        <v>7.1160000000000001E-2</v>
      </c>
      <c r="Y14" s="37">
        <v>6.6891999999999993E-2</v>
      </c>
      <c r="Z14" s="37">
        <v>0.31989299999999998</v>
      </c>
      <c r="AA14" s="13">
        <v>0</v>
      </c>
      <c r="AB14" s="38">
        <v>7.1964E-2</v>
      </c>
      <c r="AC14" s="38">
        <v>6.6435999999999995E-2</v>
      </c>
      <c r="AD14" s="38">
        <v>0.32760800000000001</v>
      </c>
      <c r="AE14" s="39">
        <v>0</v>
      </c>
    </row>
    <row r="15" spans="1:31" ht="14">
      <c r="A15" s="6">
        <v>13</v>
      </c>
      <c r="B15" s="6" t="s">
        <v>34</v>
      </c>
      <c r="C15" s="6" t="s">
        <v>20</v>
      </c>
      <c r="D15" s="8">
        <v>160</v>
      </c>
      <c r="E15" s="8">
        <v>351</v>
      </c>
      <c r="F15" s="8">
        <v>37</v>
      </c>
      <c r="G15" s="9">
        <v>3585</v>
      </c>
      <c r="H15" s="9">
        <v>13.798742000000001</v>
      </c>
      <c r="I15" s="9">
        <v>1417.980935</v>
      </c>
      <c r="J15" s="29">
        <v>0.740506</v>
      </c>
      <c r="K15" s="10">
        <v>0.60952399999999995</v>
      </c>
      <c r="L15" s="10">
        <v>2.7594E-2</v>
      </c>
      <c r="M15" s="10">
        <v>9.1420000000000008E-3</v>
      </c>
      <c r="N15" s="10">
        <v>5.0313999999999998E-2</v>
      </c>
      <c r="O15" s="10">
        <v>6.2890000000000003E-3</v>
      </c>
      <c r="P15" s="10">
        <v>7.4358999999999995E-2</v>
      </c>
      <c r="Q15" s="10">
        <v>1.6591999999999999E-2</v>
      </c>
      <c r="R15" s="10">
        <v>0.10917300000000001</v>
      </c>
      <c r="S15" s="10">
        <v>4.3742999999999997E-2</v>
      </c>
      <c r="T15" s="12">
        <v>7.2499999999999995E-4</v>
      </c>
      <c r="U15" s="12">
        <v>1.65E-4</v>
      </c>
      <c r="V15" s="12">
        <v>1.029E-3</v>
      </c>
      <c r="W15" s="12">
        <v>4.35E-4</v>
      </c>
      <c r="X15" s="12">
        <v>8.1084000000000003E-2</v>
      </c>
      <c r="Y15" s="12">
        <v>9.4839999999999994E-2</v>
      </c>
      <c r="Z15" s="12">
        <v>0.44358500000000001</v>
      </c>
      <c r="AA15" s="13">
        <v>0</v>
      </c>
      <c r="AB15" s="10">
        <v>8.4265000000000007E-2</v>
      </c>
      <c r="AC15" s="10">
        <v>7.8743999999999995E-2</v>
      </c>
      <c r="AD15" s="10">
        <v>0.37156699999999998</v>
      </c>
      <c r="AE15" s="13">
        <v>0</v>
      </c>
    </row>
    <row r="16" spans="1:31" ht="14">
      <c r="A16" s="6">
        <v>14</v>
      </c>
      <c r="B16" s="6" t="s">
        <v>35</v>
      </c>
      <c r="C16" s="6" t="s">
        <v>22</v>
      </c>
      <c r="D16" s="8">
        <v>270</v>
      </c>
      <c r="E16" s="8">
        <v>617</v>
      </c>
      <c r="F16" s="8">
        <v>38</v>
      </c>
      <c r="G16" s="9">
        <v>6093.07</v>
      </c>
      <c r="H16" s="9">
        <v>13.24</v>
      </c>
      <c r="I16" s="9">
        <v>2057.11</v>
      </c>
      <c r="J16" s="10">
        <v>0.76739999999999997</v>
      </c>
      <c r="K16" s="10">
        <v>0.65049999999999997</v>
      </c>
      <c r="L16" s="10">
        <v>8.6999999999999994E-3</v>
      </c>
      <c r="M16" s="10">
        <v>3.8E-3</v>
      </c>
      <c r="N16" s="10">
        <v>2.5999999999999999E-2</v>
      </c>
      <c r="O16" s="10">
        <v>3.7000000000000002E-3</v>
      </c>
      <c r="P16" s="10">
        <v>8.0600000000000005E-2</v>
      </c>
      <c r="Q16" s="10">
        <v>1.9800000000000002E-2</v>
      </c>
      <c r="R16" s="10">
        <v>0.1245</v>
      </c>
      <c r="S16" s="10">
        <v>4.1599999999999998E-2</v>
      </c>
      <c r="T16" s="12">
        <v>5.2499999999999997E-4</v>
      </c>
      <c r="U16" s="12">
        <v>1.44E-4</v>
      </c>
      <c r="V16" s="12">
        <v>8.1999999999999998E-4</v>
      </c>
      <c r="W16" s="12">
        <v>2.6600000000000001E-4</v>
      </c>
      <c r="X16" s="12">
        <v>4.5699999999999998E-2</v>
      </c>
      <c r="Y16" s="12">
        <v>6.0900000000000003E-2</v>
      </c>
      <c r="Z16" s="12">
        <v>0.36620000000000003</v>
      </c>
      <c r="AA16" s="13">
        <v>0</v>
      </c>
      <c r="AB16" s="10">
        <v>4.8500000000000001E-2</v>
      </c>
      <c r="AC16" s="10">
        <v>6.0900000000000003E-2</v>
      </c>
      <c r="AD16" s="10">
        <v>0.36659999999999998</v>
      </c>
      <c r="AE16" s="13">
        <v>0</v>
      </c>
    </row>
    <row r="17" spans="1:31" ht="14">
      <c r="A17" s="6">
        <v>15</v>
      </c>
      <c r="B17" s="6" t="s">
        <v>36</v>
      </c>
      <c r="C17" s="6" t="s">
        <v>22</v>
      </c>
      <c r="D17" s="8">
        <v>242</v>
      </c>
      <c r="E17" s="8">
        <v>552</v>
      </c>
      <c r="F17" s="8">
        <v>44</v>
      </c>
      <c r="G17" s="9">
        <v>6219</v>
      </c>
      <c r="H17" s="9">
        <v>14.58</v>
      </c>
      <c r="I17" s="9">
        <v>1832.79</v>
      </c>
      <c r="J17" s="10">
        <v>0.64580000000000004</v>
      </c>
      <c r="K17" s="10">
        <v>0.46779999999999999</v>
      </c>
      <c r="L17" s="10">
        <v>1.8929000000000001E-2</v>
      </c>
      <c r="M17" s="10">
        <v>7.463E-3</v>
      </c>
      <c r="N17" s="10">
        <v>5.8090999999999997E-2</v>
      </c>
      <c r="O17" s="10">
        <v>8.2990000000000008E-3</v>
      </c>
      <c r="P17" s="10">
        <v>7.4208999999999997E-2</v>
      </c>
      <c r="Q17" s="10">
        <v>1.9428999999999998E-2</v>
      </c>
      <c r="R17" s="10">
        <v>0.111009</v>
      </c>
      <c r="S17" s="10">
        <v>3.5943000000000003E-2</v>
      </c>
      <c r="T17" s="12">
        <v>6.0599999999999998E-4</v>
      </c>
      <c r="U17" s="12">
        <v>1.7799999999999999E-4</v>
      </c>
      <c r="V17" s="12">
        <v>9.0200000000000002E-4</v>
      </c>
      <c r="W17" s="12">
        <v>2.6800000000000001E-4</v>
      </c>
      <c r="X17" s="12">
        <v>5.6598999999999997E-2</v>
      </c>
      <c r="Y17" s="12">
        <v>6.3048999999999994E-2</v>
      </c>
      <c r="Z17" s="12">
        <v>0.320689</v>
      </c>
      <c r="AA17" s="13">
        <v>0</v>
      </c>
      <c r="AB17" s="10">
        <v>5.7208000000000002E-2</v>
      </c>
      <c r="AC17" s="10">
        <v>6.2116999999999999E-2</v>
      </c>
      <c r="AD17" s="10">
        <v>0.33155299999999999</v>
      </c>
      <c r="AE17" s="13">
        <v>0</v>
      </c>
    </row>
    <row r="18" spans="1:31" ht="14">
      <c r="A18" s="6">
        <v>16</v>
      </c>
      <c r="B18" s="6" t="s">
        <v>37</v>
      </c>
      <c r="C18" s="6" t="s">
        <v>20</v>
      </c>
      <c r="D18" s="8">
        <v>238</v>
      </c>
      <c r="E18" s="8">
        <v>514</v>
      </c>
      <c r="F18" s="8">
        <v>58</v>
      </c>
      <c r="G18" s="9">
        <v>6170.6</v>
      </c>
      <c r="H18" s="9">
        <v>19.466315640180099</v>
      </c>
      <c r="I18" s="9">
        <v>1796.1056392170899</v>
      </c>
      <c r="J18" s="10">
        <v>0.725988700564971</v>
      </c>
      <c r="K18" s="10">
        <v>0.58811040339702703</v>
      </c>
      <c r="L18" s="10">
        <v>1.8100000000000002E-2</v>
      </c>
      <c r="M18" s="10">
        <v>5.4000000000000003E-3</v>
      </c>
      <c r="N18" s="10">
        <v>4.2000000000000003E-2</v>
      </c>
      <c r="O18" s="10">
        <v>8.3999999999999995E-3</v>
      </c>
      <c r="P18" s="10">
        <v>5.4600000000000003E-2</v>
      </c>
      <c r="Q18" s="10">
        <v>1.34E-2</v>
      </c>
      <c r="R18" s="10">
        <v>8.3000000000000004E-2</v>
      </c>
      <c r="S18" s="10">
        <v>0.03</v>
      </c>
      <c r="T18" s="12">
        <v>5.9000000000000003E-4</v>
      </c>
      <c r="U18" s="12">
        <v>1.5300000000000001E-4</v>
      </c>
      <c r="V18" s="12">
        <v>9.0500000000000008E-3</v>
      </c>
      <c r="W18" s="12">
        <v>2.6899999999999998E-4</v>
      </c>
      <c r="X18" s="12">
        <v>7.8070000000000001E-2</v>
      </c>
      <c r="Y18" s="12">
        <v>8.1320000000000003E-2</v>
      </c>
      <c r="Z18" s="12">
        <v>0.3926</v>
      </c>
      <c r="AA18" s="13">
        <v>0</v>
      </c>
      <c r="AB18" s="10">
        <v>7.8979999999999995E-2</v>
      </c>
      <c r="AC18" s="10">
        <v>7.8520000000000006E-2</v>
      </c>
      <c r="AD18" s="10">
        <v>0.379</v>
      </c>
      <c r="AE18" s="13">
        <v>0</v>
      </c>
    </row>
    <row r="19" spans="1:31" ht="14">
      <c r="A19" s="6">
        <v>17</v>
      </c>
      <c r="B19" s="6" t="s">
        <v>38</v>
      </c>
      <c r="C19" s="6" t="s">
        <v>20</v>
      </c>
      <c r="D19" s="8">
        <v>89</v>
      </c>
      <c r="E19" s="8">
        <v>186</v>
      </c>
      <c r="F19" s="8">
        <v>30</v>
      </c>
      <c r="G19" s="9">
        <v>3368.1819</v>
      </c>
      <c r="H19" s="9">
        <v>11.251300000000001</v>
      </c>
      <c r="I19" s="40">
        <v>1283.9079999999999</v>
      </c>
      <c r="J19" s="41">
        <v>0.71264367799999995</v>
      </c>
      <c r="K19" s="41">
        <v>0.56647398999999998</v>
      </c>
      <c r="L19" s="10">
        <v>4.7497445999999999E-2</v>
      </c>
      <c r="M19" s="10">
        <v>1.1176375000000001E-2</v>
      </c>
      <c r="N19" s="10">
        <v>9.0909089999999998E-2</v>
      </c>
      <c r="O19" s="10">
        <v>2.2727272999999999E-2</v>
      </c>
      <c r="P19" s="10">
        <v>9.4397652999999998E-2</v>
      </c>
      <c r="Q19" s="10">
        <v>2.2567005000000001E-2</v>
      </c>
      <c r="R19" s="10">
        <v>0.13394220000000001</v>
      </c>
      <c r="S19" s="10">
        <v>5.3822630000000003E-2</v>
      </c>
      <c r="T19" s="12">
        <v>8.2445499999999998E-4</v>
      </c>
      <c r="U19" s="12">
        <v>1.90197E-4</v>
      </c>
      <c r="V19" s="12">
        <v>1.1590719999999999E-3</v>
      </c>
      <c r="W19" s="12">
        <v>4.79142E-4</v>
      </c>
      <c r="X19" s="12">
        <v>0.117830768</v>
      </c>
      <c r="Y19" s="12">
        <v>8.5732956999999999E-2</v>
      </c>
      <c r="Z19" s="12">
        <v>0.43164403000000001</v>
      </c>
      <c r="AA19" s="13">
        <v>0</v>
      </c>
      <c r="AB19" s="41">
        <v>0.118014218</v>
      </c>
      <c r="AC19" s="10">
        <v>8.3512717E-2</v>
      </c>
      <c r="AD19" s="10">
        <v>0.42097700999999998</v>
      </c>
      <c r="AE19" s="13">
        <v>0</v>
      </c>
    </row>
    <row r="20" spans="1:31" ht="14">
      <c r="A20" s="6">
        <v>18</v>
      </c>
      <c r="B20" s="6" t="s">
        <v>39</v>
      </c>
      <c r="C20" s="6" t="s">
        <v>22</v>
      </c>
      <c r="D20" s="8">
        <v>425</v>
      </c>
      <c r="E20" s="8">
        <v>537</v>
      </c>
      <c r="F20" s="8">
        <v>38</v>
      </c>
      <c r="G20" s="9">
        <v>6528.668686</v>
      </c>
      <c r="H20" s="9">
        <v>11.887836</v>
      </c>
      <c r="I20" s="9">
        <v>2110.9271170000002</v>
      </c>
      <c r="J20" s="10">
        <v>0.42316799999999999</v>
      </c>
      <c r="K20" s="10">
        <v>0.13372800000000001</v>
      </c>
      <c r="L20" s="10">
        <v>5.96E-3</v>
      </c>
      <c r="M20" s="10">
        <v>3.0049999999999999E-3</v>
      </c>
      <c r="N20" s="10">
        <v>2.1225999999999998E-2</v>
      </c>
      <c r="O20" s="10">
        <v>2.3579999999999999E-3</v>
      </c>
      <c r="P20" s="10">
        <v>8.8640999999999998E-2</v>
      </c>
      <c r="Q20" s="10">
        <v>1.9588000000000001E-2</v>
      </c>
      <c r="R20" s="10">
        <v>0.137484</v>
      </c>
      <c r="S20" s="10">
        <v>4.2113999999999999E-2</v>
      </c>
      <c r="T20" s="12">
        <v>5.0000000000000001E-4</v>
      </c>
      <c r="U20" s="12">
        <v>1.1400000000000001E-4</v>
      </c>
      <c r="V20" s="12">
        <v>7.2000000000000005E-4</v>
      </c>
      <c r="W20" s="12">
        <v>2.63E-4</v>
      </c>
      <c r="X20" s="12">
        <v>2.5739999999999999E-2</v>
      </c>
      <c r="Y20" s="12">
        <v>4.8434999999999999E-2</v>
      </c>
      <c r="Z20" s="12">
        <v>0.39443</v>
      </c>
      <c r="AA20" s="13">
        <v>0</v>
      </c>
      <c r="AB20" s="10">
        <v>2.9337999999999999E-2</v>
      </c>
      <c r="AC20" s="10">
        <v>4.2848999999999998E-2</v>
      </c>
      <c r="AD20" s="10">
        <v>0.26913599999999999</v>
      </c>
      <c r="AE20" s="13">
        <v>0</v>
      </c>
    </row>
    <row r="21" spans="1:31" ht="14">
      <c r="A21" s="6">
        <v>19</v>
      </c>
      <c r="B21" s="6" t="s">
        <v>40</v>
      </c>
      <c r="C21" s="6" t="s">
        <v>20</v>
      </c>
      <c r="D21" s="8">
        <v>90</v>
      </c>
      <c r="E21" s="8">
        <v>103</v>
      </c>
      <c r="F21" s="8">
        <v>35</v>
      </c>
      <c r="G21" s="42">
        <v>3244.91</v>
      </c>
      <c r="H21" s="42">
        <v>11.649699999999999</v>
      </c>
      <c r="I21" s="42">
        <v>1133.82</v>
      </c>
      <c r="J21" s="35">
        <v>0.39019999999999999</v>
      </c>
      <c r="K21" s="34">
        <v>0.08</v>
      </c>
      <c r="L21" s="10">
        <v>2.5700000000000001E-2</v>
      </c>
      <c r="M21" s="10">
        <v>8.2000000000000007E-3</v>
      </c>
      <c r="N21" s="10">
        <v>5.62E-2</v>
      </c>
      <c r="O21" s="10">
        <v>1.12E-2</v>
      </c>
      <c r="P21" s="10">
        <v>9.2299999999999993E-2</v>
      </c>
      <c r="Q21" s="10">
        <v>2.3400000000000001E-2</v>
      </c>
      <c r="R21" s="10">
        <v>0.1391</v>
      </c>
      <c r="S21" s="10">
        <v>4.87E-2</v>
      </c>
      <c r="T21" s="12">
        <v>8.9999999999999998E-4</v>
      </c>
      <c r="U21" s="12">
        <v>2.0000000000000001E-4</v>
      </c>
      <c r="V21" s="12">
        <v>1.2999999999999999E-3</v>
      </c>
      <c r="W21" s="12">
        <v>5.0000000000000001E-4</v>
      </c>
      <c r="X21" s="12">
        <v>0.121</v>
      </c>
      <c r="Y21" s="12">
        <v>0.1055</v>
      </c>
      <c r="Z21" s="12">
        <v>0.4304</v>
      </c>
      <c r="AA21" s="13">
        <v>0</v>
      </c>
      <c r="AB21" s="10">
        <v>0.1234</v>
      </c>
      <c r="AC21" s="10">
        <v>9.8400000000000001E-2</v>
      </c>
      <c r="AD21" s="10">
        <v>0.40860000000000002</v>
      </c>
      <c r="AE21" s="13">
        <v>0</v>
      </c>
    </row>
    <row r="22" spans="1:31" ht="14">
      <c r="A22" s="6">
        <v>20</v>
      </c>
      <c r="B22" s="6" t="s">
        <v>41</v>
      </c>
      <c r="C22" s="6" t="s">
        <v>22</v>
      </c>
      <c r="D22" s="8">
        <v>306</v>
      </c>
      <c r="E22" s="8">
        <v>717</v>
      </c>
      <c r="F22" s="8">
        <v>34</v>
      </c>
      <c r="G22" s="43">
        <v>3274.73</v>
      </c>
      <c r="H22" s="43">
        <v>11.9</v>
      </c>
      <c r="I22" s="43">
        <v>1039.53</v>
      </c>
      <c r="J22" s="44">
        <v>0.4002</v>
      </c>
      <c r="K22" s="44">
        <v>9.8799999999999999E-2</v>
      </c>
      <c r="L22" s="44">
        <v>1.54E-2</v>
      </c>
      <c r="M22" s="44">
        <v>7.3000000000000001E-3</v>
      </c>
      <c r="N22" s="44">
        <v>5.2499999999999998E-2</v>
      </c>
      <c r="O22" s="44">
        <v>6.6E-3</v>
      </c>
      <c r="P22" s="44">
        <v>8.8300000000000003E-2</v>
      </c>
      <c r="Q22" s="44">
        <v>1.9E-2</v>
      </c>
      <c r="R22" s="44">
        <v>0.1323</v>
      </c>
      <c r="S22" s="44">
        <v>4.5900000000000003E-2</v>
      </c>
      <c r="T22" s="45">
        <v>1.013E-3</v>
      </c>
      <c r="U22" s="45">
        <v>2.1699999999999999E-4</v>
      </c>
      <c r="V22" s="45">
        <v>1.477E-3</v>
      </c>
      <c r="W22" s="45">
        <v>4.6500000000000003E-4</v>
      </c>
      <c r="X22" s="45">
        <v>3.5841999999999999E-2</v>
      </c>
      <c r="Y22" s="45">
        <v>4.4868999999999999E-2</v>
      </c>
      <c r="Z22" s="45">
        <v>0.33208199999999999</v>
      </c>
      <c r="AA22" s="32">
        <v>0</v>
      </c>
      <c r="AB22" s="44">
        <v>3.6748000000000003E-2</v>
      </c>
      <c r="AC22" s="44">
        <v>4.054E-2</v>
      </c>
      <c r="AD22" s="44">
        <v>0.29686200000000001</v>
      </c>
      <c r="AE22" s="32">
        <v>0</v>
      </c>
    </row>
    <row r="23" spans="1:31" ht="14">
      <c r="A23" s="6">
        <v>21</v>
      </c>
      <c r="B23" s="6" t="s">
        <v>42</v>
      </c>
      <c r="C23" s="6" t="s">
        <v>22</v>
      </c>
      <c r="D23" s="8">
        <v>50</v>
      </c>
      <c r="E23" s="8">
        <v>109</v>
      </c>
      <c r="F23" s="8">
        <v>26</v>
      </c>
      <c r="G23" s="9">
        <v>2721.85</v>
      </c>
      <c r="H23" s="9">
        <v>9.7100000000000009</v>
      </c>
      <c r="I23" s="9">
        <v>1014.72</v>
      </c>
      <c r="J23" s="10">
        <v>0.75690000000000002</v>
      </c>
      <c r="K23" s="10">
        <v>0.63160000000000005</v>
      </c>
      <c r="L23" s="10">
        <v>8.8999999999999996E-2</v>
      </c>
      <c r="M23" s="10">
        <v>2.9899999999999999E-2</v>
      </c>
      <c r="N23" s="10">
        <v>0.2041</v>
      </c>
      <c r="O23" s="10">
        <v>4.0800000000000003E-2</v>
      </c>
      <c r="P23" s="10">
        <v>0.1091</v>
      </c>
      <c r="Q23" s="10">
        <v>2.5000000000000001E-2</v>
      </c>
      <c r="R23" s="10">
        <v>0.1565</v>
      </c>
      <c r="S23" s="10">
        <v>6.0900000000000003E-2</v>
      </c>
      <c r="T23" s="12">
        <v>1E-3</v>
      </c>
      <c r="U23" s="12">
        <v>2.5099999999999998E-4</v>
      </c>
      <c r="V23" s="12">
        <v>1.498E-3</v>
      </c>
      <c r="W23" s="12">
        <v>6.2109999999999997E-4</v>
      </c>
      <c r="X23" s="12">
        <v>0.18140000000000001</v>
      </c>
      <c r="Y23" s="12">
        <v>0.14149999999999999</v>
      </c>
      <c r="Z23" s="12">
        <v>0.61309999999999998</v>
      </c>
      <c r="AA23" s="13">
        <v>0</v>
      </c>
      <c r="AB23" s="10">
        <v>0.18940000000000001</v>
      </c>
      <c r="AC23" s="10">
        <v>0.15190000000000001</v>
      </c>
      <c r="AD23" s="10">
        <v>0.65139999999999998</v>
      </c>
      <c r="AE23" s="13">
        <v>0</v>
      </c>
    </row>
    <row r="24" spans="1:31" ht="14">
      <c r="A24" s="6">
        <v>22</v>
      </c>
      <c r="B24" s="6" t="s">
        <v>43</v>
      </c>
      <c r="C24" s="6" t="s">
        <v>20</v>
      </c>
      <c r="D24" s="46"/>
      <c r="E24" s="46"/>
      <c r="F24" s="8"/>
      <c r="G24" s="9"/>
      <c r="H24" s="9"/>
      <c r="I24" s="9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2"/>
      <c r="U24" s="12"/>
      <c r="V24" s="12"/>
      <c r="W24" s="12"/>
      <c r="X24" s="12"/>
      <c r="Y24" s="12"/>
      <c r="Z24" s="12"/>
      <c r="AA24" s="13"/>
      <c r="AB24" s="10"/>
      <c r="AC24" s="10"/>
      <c r="AD24" s="29"/>
      <c r="AE24" s="13"/>
    </row>
    <row r="25" spans="1:31" ht="14">
      <c r="A25" s="6">
        <v>23</v>
      </c>
      <c r="B25" s="6" t="s">
        <v>44</v>
      </c>
      <c r="C25" s="6" t="s">
        <v>45</v>
      </c>
      <c r="D25" s="8">
        <v>188</v>
      </c>
      <c r="E25" s="8">
        <v>389</v>
      </c>
      <c r="F25" s="8">
        <v>44</v>
      </c>
      <c r="G25" s="9">
        <v>2906.72</v>
      </c>
      <c r="H25" s="9">
        <v>13.77</v>
      </c>
      <c r="I25" s="9">
        <v>1069.1600000000001</v>
      </c>
      <c r="J25" s="10">
        <v>0.69710000000000005</v>
      </c>
      <c r="K25" s="10">
        <v>0.54449999999999998</v>
      </c>
      <c r="L25" s="10">
        <v>2.2100000000000002E-2</v>
      </c>
      <c r="M25" s="10">
        <v>7.3000000000000001E-3</v>
      </c>
      <c r="N25" s="10">
        <v>5.3499999999999999E-2</v>
      </c>
      <c r="O25" s="10">
        <v>1.0699999999999999E-2</v>
      </c>
      <c r="P25" s="10">
        <v>7.7499999999999999E-2</v>
      </c>
      <c r="Q25" s="10">
        <v>1.84E-2</v>
      </c>
      <c r="R25" s="10">
        <v>0.1182</v>
      </c>
      <c r="S25" s="10">
        <v>3.56E-2</v>
      </c>
      <c r="T25" s="12">
        <v>9.7599999999999998E-4</v>
      </c>
      <c r="U25" s="12">
        <v>1.95E-4</v>
      </c>
      <c r="V25" s="12">
        <v>1.361E-3</v>
      </c>
      <c r="W25" s="12">
        <v>5.5000000000000003E-4</v>
      </c>
      <c r="X25" s="12">
        <v>6.8599999999999994E-2</v>
      </c>
      <c r="Y25" s="12">
        <v>6.3600000000000004E-2</v>
      </c>
      <c r="Z25" s="12">
        <v>0.35599999999999998</v>
      </c>
      <c r="AA25" s="13">
        <v>0</v>
      </c>
      <c r="AB25" s="10">
        <v>6.9900000000000004E-2</v>
      </c>
      <c r="AC25" s="10">
        <v>6.8599999999999994E-2</v>
      </c>
      <c r="AD25" s="10">
        <v>0.34839999999999999</v>
      </c>
      <c r="AE25" s="13">
        <v>0</v>
      </c>
    </row>
    <row r="26" spans="1:31" ht="14">
      <c r="A26" s="6">
        <v>24</v>
      </c>
      <c r="B26" s="6" t="s">
        <v>46</v>
      </c>
      <c r="C26" s="6" t="s">
        <v>22</v>
      </c>
      <c r="D26" s="8">
        <v>119</v>
      </c>
      <c r="E26" s="8">
        <v>333</v>
      </c>
      <c r="F26" s="8">
        <v>24</v>
      </c>
      <c r="G26" s="9">
        <v>3306.31</v>
      </c>
      <c r="H26" s="9">
        <v>8.83</v>
      </c>
      <c r="I26" s="9">
        <v>998.85</v>
      </c>
      <c r="J26" s="10">
        <v>0.501</v>
      </c>
      <c r="K26" s="10">
        <v>0.248</v>
      </c>
      <c r="L26" s="22">
        <v>4.7428999999999999E-2</v>
      </c>
      <c r="M26" s="22">
        <v>1.6996000000000001E-2</v>
      </c>
      <c r="N26" s="22">
        <v>0.10169499999999999</v>
      </c>
      <c r="O26" s="22">
        <v>1.6948999999999999E-2</v>
      </c>
      <c r="P26" s="47">
        <v>0.118284</v>
      </c>
      <c r="Q26" s="47">
        <v>2.4035999999999998E-2</v>
      </c>
      <c r="R26" s="47">
        <v>0.16208800000000001</v>
      </c>
      <c r="S26" s="47">
        <v>7.0828000000000002E-2</v>
      </c>
      <c r="T26" s="48">
        <v>1.067E-3</v>
      </c>
      <c r="U26" s="48">
        <v>2.5300000000000002E-4</v>
      </c>
      <c r="V26" s="48">
        <v>1.493E-3</v>
      </c>
      <c r="W26" s="48">
        <v>5.3399999999999997E-4</v>
      </c>
      <c r="X26" s="48">
        <v>7.2614999999999999E-2</v>
      </c>
      <c r="Y26" s="48">
        <v>6.7997000000000002E-2</v>
      </c>
      <c r="Z26" s="48">
        <v>0.32151000000000002</v>
      </c>
      <c r="AA26" s="13">
        <v>0</v>
      </c>
      <c r="AB26" s="22">
        <v>8.5033999999999998E-2</v>
      </c>
      <c r="AC26" s="22">
        <v>7.4040999999999996E-2</v>
      </c>
      <c r="AD26" s="22">
        <v>0.30464999999999998</v>
      </c>
      <c r="AE26" s="13">
        <v>0</v>
      </c>
    </row>
    <row r="27" spans="1:31" ht="16.5" customHeight="1">
      <c r="A27" s="6">
        <v>25</v>
      </c>
      <c r="B27" s="6" t="s">
        <v>47</v>
      </c>
      <c r="C27" s="6" t="s">
        <v>20</v>
      </c>
      <c r="D27" s="46">
        <v>86</v>
      </c>
      <c r="E27" s="46">
        <v>176</v>
      </c>
      <c r="F27" s="8">
        <v>29</v>
      </c>
      <c r="G27" s="9">
        <v>3290.3989999999999</v>
      </c>
      <c r="H27" s="21">
        <v>11.801</v>
      </c>
      <c r="I27" s="21">
        <v>1304.306</v>
      </c>
      <c r="J27" s="49">
        <v>0.69799999999999995</v>
      </c>
      <c r="K27" s="49">
        <v>0.54500000000000004</v>
      </c>
      <c r="L27" s="49">
        <v>4.82E-2</v>
      </c>
      <c r="M27" s="49">
        <v>1.3899999999999999E-2</v>
      </c>
      <c r="N27" s="49">
        <v>0.1176</v>
      </c>
      <c r="O27" s="49">
        <v>2.35E-2</v>
      </c>
      <c r="P27" s="50">
        <v>9.01E-2</v>
      </c>
      <c r="Q27" s="50">
        <v>2.23E-2</v>
      </c>
      <c r="R27" s="50">
        <v>0.1391</v>
      </c>
      <c r="S27" s="50">
        <v>5.33E-2</v>
      </c>
      <c r="T27" s="51">
        <v>8.1399999999999997E-3</v>
      </c>
      <c r="U27" s="52">
        <v>1.9599999999999999E-4</v>
      </c>
      <c r="V27" s="53">
        <v>1.225E-3</v>
      </c>
      <c r="W27" s="52">
        <v>4.7399999999999997E-4</v>
      </c>
      <c r="X27" s="53">
        <v>0.12859999999999999</v>
      </c>
      <c r="Y27" s="53">
        <v>0.11219999999999999</v>
      </c>
      <c r="Z27" s="53">
        <v>0.623</v>
      </c>
      <c r="AA27" s="54">
        <v>0</v>
      </c>
      <c r="AB27" s="50">
        <v>0.12859999999999999</v>
      </c>
      <c r="AC27" s="22">
        <v>0.1135</v>
      </c>
      <c r="AD27" s="50">
        <v>0.62109999999999999</v>
      </c>
      <c r="AE27" s="55">
        <v>0</v>
      </c>
    </row>
    <row r="28" spans="1:31" ht="14">
      <c r="A28" s="56">
        <v>26</v>
      </c>
      <c r="B28" s="57" t="s">
        <v>48</v>
      </c>
      <c r="C28" s="134" t="s">
        <v>24</v>
      </c>
      <c r="D28" s="59">
        <v>450</v>
      </c>
      <c r="E28" s="59">
        <v>651</v>
      </c>
      <c r="F28" s="59">
        <v>59</v>
      </c>
      <c r="G28" s="60">
        <v>12634.39</v>
      </c>
      <c r="H28" s="60">
        <v>22.921800000000001</v>
      </c>
      <c r="I28" s="60">
        <v>4618.4367000000002</v>
      </c>
      <c r="J28" s="29">
        <v>0.4844</v>
      </c>
      <c r="K28" s="29">
        <v>0.22570000000000001</v>
      </c>
      <c r="L28" s="29">
        <v>6.4000000000000003E-3</v>
      </c>
      <c r="M28" s="29">
        <v>2.8E-3</v>
      </c>
      <c r="N28" s="29">
        <v>2.23E-2</v>
      </c>
      <c r="O28" s="29">
        <v>2.2000000000000001E-3</v>
      </c>
      <c r="P28" s="29">
        <v>3.0927E-2</v>
      </c>
      <c r="Q28" s="29">
        <v>1.1479E-2</v>
      </c>
      <c r="R28" s="29">
        <v>6.207E-2</v>
      </c>
      <c r="S28" s="29">
        <v>0</v>
      </c>
      <c r="T28" s="61">
        <v>1.55E-4</v>
      </c>
      <c r="U28" s="61">
        <v>5.5000000000000002E-5</v>
      </c>
      <c r="V28" s="61">
        <v>2.6899999999999998E-4</v>
      </c>
      <c r="W28" s="61">
        <v>0</v>
      </c>
      <c r="X28" s="61">
        <v>3.1534E-2</v>
      </c>
      <c r="Y28" s="61">
        <v>4.3066E-2</v>
      </c>
      <c r="Z28" s="61">
        <v>0.25113799999999997</v>
      </c>
      <c r="AA28" s="62">
        <v>0</v>
      </c>
      <c r="AB28" s="29">
        <v>3.3713E-2</v>
      </c>
      <c r="AC28" s="29">
        <v>4.5019000000000003E-2</v>
      </c>
      <c r="AD28" s="29">
        <v>0.26692700000000003</v>
      </c>
      <c r="AE28" s="62">
        <v>0</v>
      </c>
    </row>
    <row r="29" spans="1:31" ht="14">
      <c r="A29" s="6">
        <v>27</v>
      </c>
      <c r="B29" s="6" t="s">
        <v>68</v>
      </c>
      <c r="C29" s="6" t="s">
        <v>20</v>
      </c>
      <c r="D29" s="8">
        <v>298</v>
      </c>
      <c r="E29" s="8">
        <v>438</v>
      </c>
      <c r="F29" s="8">
        <v>117</v>
      </c>
      <c r="G29" s="9">
        <v>9576.7900000000009</v>
      </c>
      <c r="H29" s="63">
        <v>41.53</v>
      </c>
      <c r="I29" s="63">
        <v>3439.68</v>
      </c>
      <c r="J29" s="10">
        <v>0.49320000000000003</v>
      </c>
      <c r="K29" s="10">
        <v>0.23860000000000001</v>
      </c>
      <c r="L29" s="23">
        <v>9.9000000000000008E-3</v>
      </c>
      <c r="M29" s="10">
        <v>3.5999999999999999E-3</v>
      </c>
      <c r="N29" s="10">
        <v>2.3599999999999999E-2</v>
      </c>
      <c r="O29" s="10">
        <v>6.7000000000000002E-3</v>
      </c>
      <c r="P29" s="10">
        <v>2.5700000000000001E-2</v>
      </c>
      <c r="Q29" s="10">
        <v>6.6E-3</v>
      </c>
      <c r="R29" s="10">
        <v>4.07E-2</v>
      </c>
      <c r="S29" s="10">
        <v>1.37E-2</v>
      </c>
      <c r="T29" s="12">
        <v>2.9999999999999997E-4</v>
      </c>
      <c r="U29" s="12">
        <v>1E-4</v>
      </c>
      <c r="V29" s="12">
        <v>5.0000000000000001E-4</v>
      </c>
      <c r="W29" s="12">
        <v>2.0000000000000001E-4</v>
      </c>
      <c r="X29" s="12">
        <v>0.13689999999999999</v>
      </c>
      <c r="Y29" s="12">
        <v>0.1201</v>
      </c>
      <c r="Z29" s="12">
        <v>0.69330000000000003</v>
      </c>
      <c r="AA29" s="13">
        <v>0</v>
      </c>
      <c r="AB29" s="10">
        <v>0.13689999999999999</v>
      </c>
      <c r="AC29" s="10">
        <v>0.1201</v>
      </c>
      <c r="AD29" s="10">
        <v>0.69330000000000003</v>
      </c>
      <c r="AE29" s="13">
        <v>0</v>
      </c>
    </row>
    <row r="30" spans="1:31" ht="14">
      <c r="A30" s="6">
        <v>28</v>
      </c>
      <c r="B30" s="6" t="s">
        <v>50</v>
      </c>
      <c r="C30" s="6" t="s">
        <v>22</v>
      </c>
      <c r="D30" s="8">
        <v>95</v>
      </c>
      <c r="E30" s="8">
        <v>196</v>
      </c>
      <c r="F30" s="8">
        <v>47</v>
      </c>
      <c r="G30" s="9">
        <v>6912.9</v>
      </c>
      <c r="H30" s="9">
        <v>16.61</v>
      </c>
      <c r="I30" s="9">
        <v>2063.96</v>
      </c>
      <c r="J30" s="10">
        <v>0.70250000000000001</v>
      </c>
      <c r="K30" s="10">
        <v>0.5514</v>
      </c>
      <c r="L30" s="10">
        <v>4.3900000000000002E-2</v>
      </c>
      <c r="M30" s="10">
        <v>1.15E-2</v>
      </c>
      <c r="N30" s="10">
        <v>0.10639999999999999</v>
      </c>
      <c r="O30" s="10">
        <v>2.1299999999999999E-2</v>
      </c>
      <c r="P30" s="10">
        <v>6.4399999999999999E-2</v>
      </c>
      <c r="Q30" s="10">
        <v>1.6500000000000001E-2</v>
      </c>
      <c r="R30" s="10">
        <v>9.8599999999999993E-2</v>
      </c>
      <c r="S30" s="10">
        <v>3.5900000000000001E-2</v>
      </c>
      <c r="T30" s="12">
        <v>5.0000000000000001E-4</v>
      </c>
      <c r="U30" s="12">
        <v>1E-4</v>
      </c>
      <c r="V30" s="12">
        <v>8.0000000000000004E-4</v>
      </c>
      <c r="W30" s="12">
        <v>2.0000000000000001E-4</v>
      </c>
      <c r="X30" s="12">
        <v>0.1678</v>
      </c>
      <c r="Y30" s="12">
        <v>0.1285</v>
      </c>
      <c r="Z30" s="12">
        <v>0.62050000000000005</v>
      </c>
      <c r="AA30" s="13">
        <v>0</v>
      </c>
      <c r="AB30" s="10">
        <v>0.1691</v>
      </c>
      <c r="AC30" s="10">
        <v>0.1273</v>
      </c>
      <c r="AD30" s="10">
        <v>0.62549999999999994</v>
      </c>
      <c r="AE30" s="13">
        <v>0</v>
      </c>
    </row>
    <row r="31" spans="1:31" ht="14">
      <c r="A31" s="6">
        <v>29</v>
      </c>
      <c r="B31" s="6" t="s">
        <v>51</v>
      </c>
      <c r="C31" s="6" t="s">
        <v>20</v>
      </c>
      <c r="D31" s="8">
        <v>120</v>
      </c>
      <c r="E31" s="8">
        <v>225</v>
      </c>
      <c r="F31" s="8">
        <v>37</v>
      </c>
      <c r="G31" s="9">
        <v>3959.4209999999998</v>
      </c>
      <c r="H31" s="9">
        <v>12.070499999999999</v>
      </c>
      <c r="I31" s="9">
        <v>1361.2855</v>
      </c>
      <c r="J31" s="10">
        <v>0.72030000000000005</v>
      </c>
      <c r="K31" s="10">
        <v>0.57869999999999999</v>
      </c>
      <c r="L31" s="10">
        <v>3.5700000000000003E-2</v>
      </c>
      <c r="M31" s="10">
        <v>1.32E-2</v>
      </c>
      <c r="N31" s="10">
        <v>8.4000000000000005E-2</v>
      </c>
      <c r="O31" s="10">
        <v>8.3999999999999995E-3</v>
      </c>
      <c r="P31" s="10">
        <v>8.4099999999999994E-2</v>
      </c>
      <c r="Q31" s="10">
        <v>2.1340000000000001E-2</v>
      </c>
      <c r="R31" s="10">
        <v>0.121</v>
      </c>
      <c r="S31" s="10">
        <v>4.4299999999999999E-2</v>
      </c>
      <c r="T31" s="12">
        <v>2.0000000000000001E-4</v>
      </c>
      <c r="U31" s="12">
        <v>5.8175999999999997</v>
      </c>
      <c r="V31" s="12">
        <v>2.9999999999999997E-4</v>
      </c>
      <c r="W31" s="12">
        <v>0</v>
      </c>
      <c r="X31" s="12">
        <v>9.8100000000000007E-2</v>
      </c>
      <c r="Y31" s="12">
        <v>7.5600000000000001E-2</v>
      </c>
      <c r="Z31" s="12">
        <v>0.35749999999999998</v>
      </c>
      <c r="AA31" s="13">
        <v>0</v>
      </c>
      <c r="AB31" s="10">
        <v>0.1023</v>
      </c>
      <c r="AC31" s="10">
        <v>7.2499999999999995E-2</v>
      </c>
      <c r="AD31" s="10">
        <v>0.39229999999999998</v>
      </c>
      <c r="AE31" s="13">
        <v>0</v>
      </c>
    </row>
    <row r="32" spans="1:31" ht="14">
      <c r="A32" s="6">
        <v>30</v>
      </c>
      <c r="B32" s="6" t="s">
        <v>52</v>
      </c>
      <c r="C32" s="6" t="s">
        <v>20</v>
      </c>
      <c r="D32" s="8">
        <v>204</v>
      </c>
      <c r="E32" s="8">
        <v>445</v>
      </c>
      <c r="F32" s="8">
        <v>43</v>
      </c>
      <c r="G32" s="9">
        <v>2824.62</v>
      </c>
      <c r="H32" s="9">
        <v>14.88</v>
      </c>
      <c r="I32" s="9">
        <v>1006.15</v>
      </c>
      <c r="J32" s="10">
        <v>0.37130000000000002</v>
      </c>
      <c r="K32" s="10">
        <v>5.4600000000000003E-2</v>
      </c>
      <c r="L32" s="10">
        <v>2.1491E-2</v>
      </c>
      <c r="M32" s="10">
        <v>7.5810000000000001E-3</v>
      </c>
      <c r="N32" s="10">
        <v>5.9112999999999999E-2</v>
      </c>
      <c r="O32" s="10">
        <v>9.8519999999999996E-3</v>
      </c>
      <c r="P32" s="10">
        <v>7.1530999999999997E-2</v>
      </c>
      <c r="Q32" s="10">
        <v>1.7583999999999999E-2</v>
      </c>
      <c r="R32" s="10">
        <v>0.10949299999999999</v>
      </c>
      <c r="S32" s="10">
        <v>3.8150999999999997E-2</v>
      </c>
      <c r="T32" s="12">
        <v>1.0430000000000001E-3</v>
      </c>
      <c r="U32" s="12">
        <v>2.2499999999999999E-4</v>
      </c>
      <c r="V32" s="12">
        <v>1.531E-3</v>
      </c>
      <c r="W32" s="12">
        <v>6.0300000000000002E-4</v>
      </c>
      <c r="X32" s="12">
        <v>6.8733000000000002E-2</v>
      </c>
      <c r="Y32" s="12">
        <v>7.2320999999999996E-2</v>
      </c>
      <c r="Z32" s="12">
        <v>0.37313800000000003</v>
      </c>
      <c r="AA32" s="13">
        <v>0</v>
      </c>
      <c r="AB32" s="10">
        <v>7.0001999999999995E-2</v>
      </c>
      <c r="AC32" s="10">
        <v>6.8376999999999993E-2</v>
      </c>
      <c r="AD32" s="10">
        <v>0.34643699999999999</v>
      </c>
      <c r="AE32" s="13">
        <v>0</v>
      </c>
    </row>
    <row r="33" spans="1:31" ht="14">
      <c r="A33" s="6">
        <v>32</v>
      </c>
      <c r="B33" s="6" t="s">
        <v>54</v>
      </c>
      <c r="C33" s="6" t="s">
        <v>20</v>
      </c>
      <c r="D33" s="8">
        <v>133</v>
      </c>
      <c r="E33" s="8">
        <v>150</v>
      </c>
      <c r="F33" s="8">
        <v>35</v>
      </c>
      <c r="G33" s="9">
        <v>3428.62</v>
      </c>
      <c r="H33" s="9">
        <v>11.93</v>
      </c>
      <c r="I33" s="9">
        <v>1265.01</v>
      </c>
      <c r="J33" s="10">
        <v>0.38169999999999998</v>
      </c>
      <c r="K33" s="10">
        <v>6.9000000000000006E-2</v>
      </c>
      <c r="L33" s="10">
        <v>1.7100000000000001E-2</v>
      </c>
      <c r="M33" s="10">
        <v>5.7999999999999996E-3</v>
      </c>
      <c r="N33" s="10">
        <v>4.5499999999999999E-2</v>
      </c>
      <c r="O33" s="10">
        <v>7.6E-3</v>
      </c>
      <c r="P33" s="10">
        <v>8.9899999999999994E-2</v>
      </c>
      <c r="Q33" s="10">
        <v>2.24E-2</v>
      </c>
      <c r="R33" s="10">
        <v>0.13095000000000001</v>
      </c>
      <c r="S33" s="10">
        <v>4.7100000000000003E-2</v>
      </c>
      <c r="T33" s="12">
        <v>8.3100000000000003E-4</v>
      </c>
      <c r="U33" s="12">
        <v>1.8000000000000001E-4</v>
      </c>
      <c r="V33" s="12">
        <v>1.1999999999999999E-3</v>
      </c>
      <c r="W33" s="12">
        <v>4.75E-4</v>
      </c>
      <c r="X33" s="12">
        <v>8.3423999999999998E-2</v>
      </c>
      <c r="Y33" s="12">
        <v>8.1862000000000004E-2</v>
      </c>
      <c r="Z33" s="12">
        <v>0.40076099999999998</v>
      </c>
      <c r="AA33" s="13">
        <v>0</v>
      </c>
      <c r="AB33" s="10">
        <v>8.8041999999999995E-2</v>
      </c>
      <c r="AC33" s="10">
        <v>7.0788000000000004E-2</v>
      </c>
      <c r="AD33" s="10">
        <v>0.3427</v>
      </c>
      <c r="AE33" s="13">
        <v>0</v>
      </c>
    </row>
    <row r="34" spans="1:31" ht="14">
      <c r="A34" s="6">
        <v>33</v>
      </c>
      <c r="B34" s="6" t="s">
        <v>55</v>
      </c>
      <c r="C34" s="6" t="s">
        <v>20</v>
      </c>
      <c r="D34" s="8">
        <v>131</v>
      </c>
      <c r="E34" s="8">
        <v>260</v>
      </c>
      <c r="F34" s="64">
        <v>46</v>
      </c>
      <c r="G34" s="63">
        <v>3090.39</v>
      </c>
      <c r="H34" s="63">
        <v>14.82</v>
      </c>
      <c r="I34" s="9">
        <v>923.51</v>
      </c>
      <c r="J34" s="23">
        <v>0.67</v>
      </c>
      <c r="K34" s="10">
        <v>0.51</v>
      </c>
      <c r="L34" s="23">
        <v>3.0533999999999999E-2</v>
      </c>
      <c r="M34" s="10">
        <v>9.2119999999999997E-3</v>
      </c>
      <c r="N34" s="10">
        <v>7.6923000000000005E-2</v>
      </c>
      <c r="O34" s="10">
        <v>7.6920000000000001E-3</v>
      </c>
      <c r="P34" s="10">
        <v>7.1930999999999995E-2</v>
      </c>
      <c r="Q34" s="10">
        <v>1.7399999999999999E-2</v>
      </c>
      <c r="R34" s="10">
        <v>0.107172</v>
      </c>
      <c r="S34" s="10">
        <v>3.8439000000000001E-2</v>
      </c>
      <c r="T34" s="12">
        <v>1.152E-3</v>
      </c>
      <c r="U34" s="12">
        <v>2.6499999999999999E-4</v>
      </c>
      <c r="V34" s="12">
        <v>1.6429999999999999E-3</v>
      </c>
      <c r="W34" s="12">
        <v>5.4799999999999998E-4</v>
      </c>
      <c r="X34" s="12">
        <v>0.107139</v>
      </c>
      <c r="Y34" s="12">
        <v>0.10426299999999999</v>
      </c>
      <c r="Z34" s="12">
        <v>0.86667000000000005</v>
      </c>
      <c r="AA34" s="13">
        <v>0</v>
      </c>
      <c r="AB34" s="10">
        <v>0.107394</v>
      </c>
      <c r="AC34" s="10">
        <v>0.103315</v>
      </c>
      <c r="AD34" s="10">
        <v>0.53667299999999996</v>
      </c>
      <c r="AE34" s="13">
        <v>0</v>
      </c>
    </row>
    <row r="35" spans="1:31" ht="14">
      <c r="A35" s="6">
        <v>34</v>
      </c>
      <c r="B35" s="6" t="s">
        <v>56</v>
      </c>
      <c r="C35" s="6" t="s">
        <v>20</v>
      </c>
      <c r="D35" s="8">
        <v>131</v>
      </c>
      <c r="E35" s="8">
        <v>279</v>
      </c>
      <c r="F35" s="8">
        <v>48</v>
      </c>
      <c r="G35" s="9">
        <v>4910.21</v>
      </c>
      <c r="H35" s="9">
        <v>16.129000000000001</v>
      </c>
      <c r="I35" s="9">
        <v>1512.85</v>
      </c>
      <c r="J35" s="10">
        <v>0.3695</v>
      </c>
      <c r="K35" s="10">
        <v>5.0599999999999999E-2</v>
      </c>
      <c r="L35" s="10">
        <v>2.1831999999999998</v>
      </c>
      <c r="M35" s="10">
        <v>0.62760000000000005</v>
      </c>
      <c r="N35" s="10">
        <v>5</v>
      </c>
      <c r="O35" s="10">
        <v>1</v>
      </c>
      <c r="P35" s="10">
        <v>6.615E-2</v>
      </c>
      <c r="Q35" s="10">
        <v>1.6E-2</v>
      </c>
      <c r="R35" s="10">
        <v>9.6869999999999998E-2</v>
      </c>
      <c r="S35" s="10">
        <v>3.3509999999999998E-2</v>
      </c>
      <c r="T35" s="12">
        <v>7.1000000000000002E-4</v>
      </c>
      <c r="U35" s="12">
        <v>1.7100000000000001E-4</v>
      </c>
      <c r="V35" s="12">
        <v>1.0269999999999999E-3</v>
      </c>
      <c r="W35" s="12">
        <v>3.0600000000000001E-4</v>
      </c>
      <c r="X35" s="12">
        <v>0.11728</v>
      </c>
      <c r="Y35" s="12">
        <v>0.10419</v>
      </c>
      <c r="Z35" s="12">
        <v>0.57550000000000001</v>
      </c>
      <c r="AA35" s="13">
        <v>0</v>
      </c>
      <c r="AB35" s="10">
        <v>0.12112299999999999</v>
      </c>
      <c r="AC35" s="10">
        <v>0.1134</v>
      </c>
      <c r="AD35" s="10">
        <v>0.57537300000000002</v>
      </c>
      <c r="AE35" s="13">
        <v>0</v>
      </c>
    </row>
    <row r="36" spans="1:31" ht="14">
      <c r="A36" s="6">
        <v>35</v>
      </c>
      <c r="B36" s="6" t="s">
        <v>57</v>
      </c>
      <c r="C36" s="135" t="s">
        <v>45</v>
      </c>
      <c r="D36" s="8">
        <v>153</v>
      </c>
      <c r="E36" s="8">
        <v>318</v>
      </c>
      <c r="F36" s="8">
        <v>32</v>
      </c>
      <c r="G36" s="10">
        <v>2944.51</v>
      </c>
      <c r="H36" s="10">
        <v>11.78</v>
      </c>
      <c r="I36" s="10">
        <v>1017.51</v>
      </c>
      <c r="J36" s="10">
        <v>0.39290000000000003</v>
      </c>
      <c r="K36" s="10">
        <v>8.6400000000000005E-2</v>
      </c>
      <c r="L36" s="10">
        <v>2.7300000000000001E-2</v>
      </c>
      <c r="M36" s="10">
        <v>8.8000000000000005E-3</v>
      </c>
      <c r="N36" s="10">
        <v>5.9200000000000003E-2</v>
      </c>
      <c r="O36" s="10">
        <v>1.3100000000000001E-2</v>
      </c>
      <c r="P36" s="10">
        <v>9.0364E-2</v>
      </c>
      <c r="Q36" s="10">
        <v>2.2062999999999999E-2</v>
      </c>
      <c r="R36" s="10">
        <v>0.13855999999999999</v>
      </c>
      <c r="S36" s="10">
        <v>5.0065999999999999E-2</v>
      </c>
      <c r="T36" s="10">
        <v>1.0269999999999999E-3</v>
      </c>
      <c r="U36" s="10">
        <v>2.0900000000000001E-4</v>
      </c>
      <c r="V36" s="10">
        <v>1.4760000000000001E-3</v>
      </c>
      <c r="W36" s="10">
        <v>5.9000000000000003E-4</v>
      </c>
      <c r="X36" s="10">
        <v>7.1411000000000002E-2</v>
      </c>
      <c r="Y36" s="10">
        <v>7.3209999999999997E-2</v>
      </c>
      <c r="Z36" s="10">
        <v>0.41048000000000001</v>
      </c>
      <c r="AA36" s="13">
        <v>0</v>
      </c>
      <c r="AB36" s="10">
        <v>7.2350999999999999E-2</v>
      </c>
      <c r="AC36" s="10">
        <v>7.4487999999999999E-2</v>
      </c>
      <c r="AD36" s="10">
        <v>0.42061700000000002</v>
      </c>
      <c r="AE36" s="13">
        <v>0</v>
      </c>
    </row>
    <row r="37" spans="1:31" ht="14">
      <c r="A37" s="6">
        <v>36</v>
      </c>
      <c r="B37" s="6" t="s">
        <v>58</v>
      </c>
      <c r="C37" s="6" t="s">
        <v>24</v>
      </c>
      <c r="D37" s="8">
        <v>146</v>
      </c>
      <c r="E37" s="8">
        <v>322</v>
      </c>
      <c r="F37" s="8">
        <v>35</v>
      </c>
      <c r="G37" s="65">
        <v>8542.7900000000009</v>
      </c>
      <c r="H37" s="9">
        <v>12.7247</v>
      </c>
      <c r="I37" s="65">
        <v>2936.63</v>
      </c>
      <c r="J37" s="50">
        <v>0.74539999999999995</v>
      </c>
      <c r="K37" s="50">
        <v>0.61670000000000003</v>
      </c>
      <c r="L37" s="23">
        <v>3.04E-2</v>
      </c>
      <c r="M37" s="10">
        <v>1.1990000000000001E-2</v>
      </c>
      <c r="N37" s="10">
        <v>0.11033999999999999</v>
      </c>
      <c r="O37" s="10">
        <v>1.379E-2</v>
      </c>
      <c r="P37" s="10">
        <v>8.072E-2</v>
      </c>
      <c r="Q37" s="10">
        <v>1.942E-2</v>
      </c>
      <c r="R37" s="10">
        <v>0.12425</v>
      </c>
      <c r="S37" s="10">
        <v>4.555E-2</v>
      </c>
      <c r="T37" s="52">
        <v>3.5715999999999998E-4</v>
      </c>
      <c r="U37" s="52">
        <v>8.7559999999999995E-5</v>
      </c>
      <c r="V37" s="52">
        <v>5.3370999999999996E-4</v>
      </c>
      <c r="W37" s="52">
        <v>1.7700999999999999E-4</v>
      </c>
      <c r="X37" s="12">
        <v>8.4290000000000004E-2</v>
      </c>
      <c r="Y37" s="12">
        <v>0.10283</v>
      </c>
      <c r="Z37" s="12">
        <v>0.55986000000000002</v>
      </c>
      <c r="AA37" s="13">
        <v>0</v>
      </c>
      <c r="AB37" s="50">
        <v>8.6879999999999999E-2</v>
      </c>
      <c r="AC37" s="50">
        <v>0.10167</v>
      </c>
      <c r="AD37" s="50">
        <v>0.50843000000000005</v>
      </c>
      <c r="AE37" s="13">
        <v>0</v>
      </c>
    </row>
    <row r="38" spans="1:31" ht="14">
      <c r="A38" s="6">
        <v>37</v>
      </c>
      <c r="B38" s="6" t="s">
        <v>59</v>
      </c>
      <c r="C38" s="6" t="s">
        <v>24</v>
      </c>
      <c r="D38" s="8">
        <v>314</v>
      </c>
      <c r="E38" s="66">
        <v>758</v>
      </c>
      <c r="F38" s="66">
        <v>50</v>
      </c>
      <c r="G38" s="67">
        <v>28868.400000000001</v>
      </c>
      <c r="H38" s="67">
        <v>12.68</v>
      </c>
      <c r="I38" s="68">
        <v>5554.27</v>
      </c>
      <c r="J38" s="69">
        <v>0.80979999999999996</v>
      </c>
      <c r="K38" s="69">
        <v>0.71430000000000005</v>
      </c>
      <c r="L38" s="70">
        <v>1.54E-2</v>
      </c>
      <c r="M38" s="69">
        <v>7.7999999999999996E-3</v>
      </c>
      <c r="N38" s="69">
        <v>7.3499999999999996E-2</v>
      </c>
      <c r="O38" s="69">
        <v>3.1900000000000001E-3</v>
      </c>
      <c r="P38" s="69">
        <v>8.5900000000000004E-2</v>
      </c>
      <c r="Q38" s="69">
        <v>2.24E-2</v>
      </c>
      <c r="R38" s="71">
        <v>0.1368</v>
      </c>
      <c r="S38" s="69">
        <v>2.9600000000000001E-2</v>
      </c>
      <c r="T38" s="72">
        <v>2.0780000000000001E-4</v>
      </c>
      <c r="U38" s="72">
        <f>6.6053*10^-5</f>
        <v>6.6052999999999999E-5</v>
      </c>
      <c r="V38" s="72">
        <v>3.2279999999999999E-4</v>
      </c>
      <c r="W38" s="12">
        <f>5.71024*10^-5</f>
        <v>5.7102400000000004E-5</v>
      </c>
      <c r="X38" s="12">
        <f>0.03728</f>
        <v>3.7280000000000001E-2</v>
      </c>
      <c r="Y38" s="12">
        <v>6.6519999999999996E-2</v>
      </c>
      <c r="Z38" s="12">
        <v>0.54269999999999996</v>
      </c>
      <c r="AA38" s="13">
        <v>0</v>
      </c>
      <c r="AB38" s="10">
        <v>4.5400000000000003E-2</v>
      </c>
      <c r="AC38" s="10">
        <v>7.0569999999999994E-2</v>
      </c>
      <c r="AD38" s="10">
        <v>0.57069999999999999</v>
      </c>
      <c r="AE38" s="13">
        <v>0</v>
      </c>
    </row>
    <row r="39" spans="1:31" ht="14">
      <c r="A39" s="6">
        <v>38</v>
      </c>
      <c r="B39" s="6" t="s">
        <v>41</v>
      </c>
      <c r="C39" s="6" t="s">
        <v>24</v>
      </c>
      <c r="D39" s="13">
        <v>249</v>
      </c>
      <c r="E39" s="13">
        <v>571</v>
      </c>
      <c r="F39" s="13">
        <v>44</v>
      </c>
      <c r="G39" s="9">
        <v>8711.44</v>
      </c>
      <c r="H39" s="9">
        <v>14.15</v>
      </c>
      <c r="I39" s="9">
        <v>2807.2377999999999</v>
      </c>
      <c r="J39" s="10">
        <v>0.77059999999999995</v>
      </c>
      <c r="K39" s="10">
        <v>0.6552</v>
      </c>
      <c r="L39" s="10">
        <v>1.8492999999999999E-2</v>
      </c>
      <c r="M39" s="10">
        <v>8.1869999999999998E-3</v>
      </c>
      <c r="N39" s="10">
        <v>6.8547999999999998E-2</v>
      </c>
      <c r="O39" s="10">
        <v>8.0649999999999993E-3</v>
      </c>
      <c r="P39" s="69">
        <v>7.5435000000000002E-2</v>
      </c>
      <c r="Q39" s="10">
        <v>1.8228999999999999E-2</v>
      </c>
      <c r="R39" s="10">
        <v>0.11803900000000001</v>
      </c>
      <c r="S39" s="10">
        <v>3.2148999999999997E-2</v>
      </c>
      <c r="T39" s="12">
        <v>3.7599999999999998E-4</v>
      </c>
      <c r="U39" s="12">
        <v>8.2000000000000001E-5</v>
      </c>
      <c r="V39" s="12">
        <v>1.8799999999999999E-4</v>
      </c>
      <c r="W39" s="12">
        <v>5.4199999999999995E-4</v>
      </c>
      <c r="X39" s="12">
        <v>5.3245000000000001E-2</v>
      </c>
      <c r="Y39" s="12">
        <v>7.9391000000000003E-2</v>
      </c>
      <c r="Z39" s="12">
        <v>0.56696999999999997</v>
      </c>
      <c r="AA39" s="13">
        <v>0</v>
      </c>
      <c r="AB39" s="10">
        <v>5.6557999999999997E-2</v>
      </c>
      <c r="AC39" s="10">
        <v>7.4875999999999998E-2</v>
      </c>
      <c r="AD39" s="10">
        <v>0.47659000000000001</v>
      </c>
      <c r="AE39" s="13">
        <v>0</v>
      </c>
    </row>
    <row r="40" spans="1:31" ht="14">
      <c r="A40" s="6">
        <v>39</v>
      </c>
      <c r="B40" s="6" t="s">
        <v>52</v>
      </c>
      <c r="C40" s="6" t="s">
        <v>24</v>
      </c>
      <c r="D40" s="8">
        <v>274</v>
      </c>
      <c r="E40" s="8">
        <v>660</v>
      </c>
      <c r="F40" s="8">
        <v>31</v>
      </c>
      <c r="G40" s="9">
        <v>8234.81</v>
      </c>
      <c r="H40" s="9">
        <v>9.84</v>
      </c>
      <c r="I40" s="9">
        <v>2663.12</v>
      </c>
      <c r="J40" s="10">
        <v>0.80879999999999996</v>
      </c>
      <c r="K40" s="10">
        <v>0.71299999999999997</v>
      </c>
      <c r="L40" s="10">
        <v>1.7600000000000001E-2</v>
      </c>
      <c r="M40" s="10">
        <v>8.8000000000000005E-3</v>
      </c>
      <c r="N40" s="10">
        <v>7.6899999999999996E-2</v>
      </c>
      <c r="O40" s="10">
        <v>7.3000000000000001E-3</v>
      </c>
      <c r="P40" s="10">
        <v>0.1087</v>
      </c>
      <c r="Q40" s="10">
        <v>2.6599999999999999E-2</v>
      </c>
      <c r="R40" s="10">
        <v>0.1822</v>
      </c>
      <c r="S40" s="10">
        <v>4.5600000000000002E-2</v>
      </c>
      <c r="T40" s="12">
        <v>3.9800000000000002E-4</v>
      </c>
      <c r="U40" s="12">
        <v>9.2999999999999997E-5</v>
      </c>
      <c r="V40" s="12">
        <v>6.1899999999999998E-4</v>
      </c>
      <c r="W40" s="12">
        <v>1.8200000000000001E-4</v>
      </c>
      <c r="X40" s="12">
        <v>3.2500000000000001E-2</v>
      </c>
      <c r="Y40" s="12">
        <v>6.5199999999999994E-2</v>
      </c>
      <c r="Z40" s="12">
        <v>0.63319999999999999</v>
      </c>
      <c r="AA40" s="13">
        <v>0</v>
      </c>
      <c r="AB40" s="10">
        <v>3.6799999999999999E-2</v>
      </c>
      <c r="AC40" s="10">
        <v>5.4800000000000001E-2</v>
      </c>
      <c r="AD40" s="10">
        <v>0.45660000000000001</v>
      </c>
      <c r="AE40" s="13">
        <v>0</v>
      </c>
    </row>
    <row r="41" spans="1:31" ht="14">
      <c r="A41" s="6">
        <v>40</v>
      </c>
      <c r="B41" s="6" t="s">
        <v>19</v>
      </c>
      <c r="C41" s="6" t="s">
        <v>45</v>
      </c>
      <c r="D41" s="59">
        <v>309</v>
      </c>
      <c r="E41" s="59">
        <v>678</v>
      </c>
      <c r="F41" s="59">
        <v>50</v>
      </c>
      <c r="G41" s="60">
        <v>4335</v>
      </c>
      <c r="H41" s="60">
        <v>18</v>
      </c>
      <c r="I41" s="60">
        <v>1662</v>
      </c>
      <c r="J41" s="29">
        <v>0.74</v>
      </c>
      <c r="K41" s="29">
        <v>0.6</v>
      </c>
      <c r="L41" s="29">
        <v>1.4E-2</v>
      </c>
      <c r="M41" s="29">
        <v>5.1999999999999998E-3</v>
      </c>
      <c r="N41" s="29">
        <v>3.9E-2</v>
      </c>
      <c r="O41" s="29">
        <v>6.4999999999999997E-3</v>
      </c>
      <c r="P41" s="29">
        <v>5.8900000000000001E-2</v>
      </c>
      <c r="Q41" s="29">
        <v>1.2E-2</v>
      </c>
      <c r="R41" s="29">
        <v>8.2900000000000001E-2</v>
      </c>
      <c r="S41" s="29">
        <v>3.2000000000000001E-2</v>
      </c>
      <c r="T41" s="61">
        <v>6.2E-4</v>
      </c>
      <c r="U41" s="61">
        <v>1.1E-4</v>
      </c>
      <c r="V41" s="61">
        <v>8.2799999999999996E-4</v>
      </c>
      <c r="W41" s="61">
        <v>3.5199999999999999E-4</v>
      </c>
      <c r="X41" s="61">
        <v>5.5E-2</v>
      </c>
      <c r="Y41" s="61">
        <v>6.6199999999999995E-2</v>
      </c>
      <c r="Z41" s="61">
        <v>0.44</v>
      </c>
      <c r="AA41" s="62">
        <v>0</v>
      </c>
      <c r="AB41" s="29">
        <v>5.7000000000000002E-2</v>
      </c>
      <c r="AC41" s="29">
        <v>6.2100000000000002E-2</v>
      </c>
      <c r="AD41" s="29">
        <v>0.35399999999999998</v>
      </c>
      <c r="AE41" s="62">
        <v>0</v>
      </c>
    </row>
    <row r="42" spans="1:31" ht="14">
      <c r="A42" s="6">
        <v>41</v>
      </c>
      <c r="B42" s="6" t="s">
        <v>67</v>
      </c>
      <c r="C42" s="6" t="s">
        <v>22</v>
      </c>
      <c r="D42" s="59">
        <v>395</v>
      </c>
      <c r="E42" s="59">
        <v>816</v>
      </c>
      <c r="F42" s="59">
        <v>100</v>
      </c>
      <c r="G42" s="60">
        <v>14800</v>
      </c>
      <c r="H42" s="60">
        <v>36.17</v>
      </c>
      <c r="I42" s="60">
        <v>2592.94</v>
      </c>
      <c r="J42" s="29">
        <v>0.69920000000000004</v>
      </c>
      <c r="K42" s="29">
        <v>0.53759999999999997</v>
      </c>
      <c r="L42" s="29">
        <v>1.0500000000000001E-2</v>
      </c>
      <c r="M42" s="29">
        <v>3.3E-3</v>
      </c>
      <c r="N42" s="29">
        <v>2.5399999999999999E-2</v>
      </c>
      <c r="O42" s="29">
        <v>2.5000000000000001E-3</v>
      </c>
      <c r="P42" s="29">
        <v>3.0800000000000001E-2</v>
      </c>
      <c r="Q42" s="29">
        <v>8.2000000000000007E-3</v>
      </c>
      <c r="R42" s="29">
        <v>4.3299999999999998E-2</v>
      </c>
      <c r="S42" s="29">
        <v>0</v>
      </c>
      <c r="T42" s="61">
        <v>3.0790000000000001E-2</v>
      </c>
      <c r="U42" s="61">
        <v>8.2100000000000003E-3</v>
      </c>
      <c r="V42" s="61">
        <v>4.3339999999999997E-2</v>
      </c>
      <c r="W42" s="61">
        <v>0</v>
      </c>
      <c r="X42" s="61">
        <v>7.5060000000000002E-2</v>
      </c>
      <c r="Y42" s="61">
        <v>9.8739999999999994E-2</v>
      </c>
      <c r="Z42" s="61">
        <v>0.42310999999999999</v>
      </c>
      <c r="AA42" s="62">
        <v>0</v>
      </c>
      <c r="AB42" s="29">
        <v>7.51E-2</v>
      </c>
      <c r="AC42" s="29">
        <v>9.8699999999999996E-2</v>
      </c>
      <c r="AD42" s="29">
        <v>0.42309999999999998</v>
      </c>
      <c r="AE42" s="62">
        <v>0</v>
      </c>
    </row>
    <row r="43" spans="1:31" ht="14">
      <c r="A43" s="6">
        <v>42</v>
      </c>
      <c r="B43" s="6" t="s">
        <v>30</v>
      </c>
      <c r="C43" s="6" t="s">
        <v>45</v>
      </c>
      <c r="D43" s="59">
        <v>206</v>
      </c>
      <c r="E43" s="59">
        <v>268</v>
      </c>
      <c r="F43" s="59">
        <v>35</v>
      </c>
      <c r="G43" s="60">
        <v>4757.95</v>
      </c>
      <c r="H43" s="60">
        <v>11.734</v>
      </c>
      <c r="I43" s="60">
        <v>1484.3</v>
      </c>
      <c r="J43" s="29">
        <v>0.43790000000000001</v>
      </c>
      <c r="K43" s="29">
        <v>0.15479999999999999</v>
      </c>
      <c r="L43" s="29">
        <v>1.269E-2</v>
      </c>
      <c r="M43" s="29">
        <v>5.0600000000000003E-3</v>
      </c>
      <c r="N43" s="29">
        <v>4.3900000000000002E-2</v>
      </c>
      <c r="O43" s="29">
        <v>4.8799999999999998E-3</v>
      </c>
      <c r="P43" s="29">
        <v>8.9069999999999996E-2</v>
      </c>
      <c r="Q43" s="29">
        <v>1.8169999999999999E-2</v>
      </c>
      <c r="R43" s="29">
        <v>0.13364000000000001</v>
      </c>
      <c r="S43" s="29">
        <v>4.6089999999999999E-2</v>
      </c>
      <c r="T43" s="61">
        <v>6.9800000000000005E-4</v>
      </c>
      <c r="U43" s="61">
        <v>1.21E-4</v>
      </c>
      <c r="V43" s="61">
        <v>9.3700000000000001E-4</v>
      </c>
      <c r="W43" s="61">
        <v>3.3799999999999998E-4</v>
      </c>
      <c r="X43" s="61">
        <v>5.262E-2</v>
      </c>
      <c r="Y43" s="61">
        <v>6.5360000000000001E-2</v>
      </c>
      <c r="Z43" s="61">
        <v>0.49640000000000001</v>
      </c>
      <c r="AA43" s="62">
        <v>0</v>
      </c>
      <c r="AB43" s="29">
        <v>5.9020000000000003E-2</v>
      </c>
      <c r="AC43" s="29">
        <v>5.602E-2</v>
      </c>
      <c r="AD43" s="29">
        <v>0.30408000000000002</v>
      </c>
      <c r="AE43" s="62">
        <v>0</v>
      </c>
    </row>
    <row r="44" spans="1:31" ht="14">
      <c r="A44" s="6">
        <v>43</v>
      </c>
      <c r="B44" s="6" t="s">
        <v>54</v>
      </c>
      <c r="C44" s="6" t="s">
        <v>24</v>
      </c>
      <c r="D44" s="59">
        <v>121</v>
      </c>
      <c r="E44" s="59">
        <v>164</v>
      </c>
      <c r="F44" s="59">
        <v>21</v>
      </c>
      <c r="G44" s="73">
        <v>1547.5</v>
      </c>
      <c r="H44" s="73">
        <v>7.3289999999999997</v>
      </c>
      <c r="I44" s="60">
        <v>1018.87</v>
      </c>
      <c r="J44" s="29">
        <v>0.45929999999999999</v>
      </c>
      <c r="K44" s="29">
        <v>0.18559999999999999</v>
      </c>
      <c r="L44" s="29">
        <v>2.2599999999999999E-2</v>
      </c>
      <c r="M44" s="29">
        <v>1.214E-2</v>
      </c>
      <c r="N44" s="29">
        <v>9.1700000000000004E-2</v>
      </c>
      <c r="O44" s="29">
        <v>8.3000000000000001E-3</v>
      </c>
      <c r="P44" s="29">
        <v>0.14541000000000001</v>
      </c>
      <c r="Q44" s="29">
        <v>3.5029999999999999E-2</v>
      </c>
      <c r="R44" s="29">
        <v>0.23346</v>
      </c>
      <c r="S44" s="29">
        <v>7.2595000000000007E-2</v>
      </c>
      <c r="T44" s="61">
        <v>1.206E-2</v>
      </c>
      <c r="U44" s="61">
        <v>3.2675E-3</v>
      </c>
      <c r="V44" s="61">
        <v>1.3533999999999999E-2</v>
      </c>
      <c r="W44" s="61">
        <v>1.088E-3</v>
      </c>
      <c r="X44" s="61">
        <v>5.3179999999999998E-2</v>
      </c>
      <c r="Y44" s="61">
        <v>8.9737999999999998E-2</v>
      </c>
      <c r="Z44" s="61">
        <v>0.60889000000000004</v>
      </c>
      <c r="AA44" s="62">
        <v>0</v>
      </c>
      <c r="AB44" s="29">
        <v>5.3179999999999998E-2</v>
      </c>
      <c r="AC44" s="29">
        <v>8.9737999999999998E-2</v>
      </c>
      <c r="AD44" s="29">
        <v>0.60889000000000004</v>
      </c>
      <c r="AE44" s="62">
        <v>0</v>
      </c>
    </row>
    <row r="45" spans="1:31" ht="14">
      <c r="A45" s="6">
        <v>44</v>
      </c>
      <c r="B45" s="6" t="s">
        <v>33</v>
      </c>
      <c r="C45" s="6" t="s">
        <v>24</v>
      </c>
      <c r="D45" s="59">
        <v>141</v>
      </c>
      <c r="E45" s="59">
        <v>153</v>
      </c>
      <c r="F45" s="59">
        <v>19</v>
      </c>
      <c r="G45" s="60">
        <v>8541.9</v>
      </c>
      <c r="H45" s="60">
        <v>6.87</v>
      </c>
      <c r="I45" s="60">
        <v>2224.6799999999998</v>
      </c>
      <c r="J45" s="29">
        <v>0.79</v>
      </c>
      <c r="K45" s="29"/>
      <c r="L45" s="29">
        <v>7.5999999999999998E-2</v>
      </c>
      <c r="M45" s="29">
        <v>2.8000000000000001E-2</v>
      </c>
      <c r="N45" s="29">
        <v>0.17</v>
      </c>
      <c r="O45" s="29">
        <v>3.3000000000000002E-2</v>
      </c>
      <c r="P45" s="29">
        <v>0.15</v>
      </c>
      <c r="Q45" s="29">
        <v>3.6999999999999998E-2</v>
      </c>
      <c r="R45" s="29">
        <v>0.24</v>
      </c>
      <c r="S45" s="29">
        <v>7.6999999999999999E-2</v>
      </c>
      <c r="T45" s="61">
        <v>5.1000000000000004E-4</v>
      </c>
      <c r="U45" s="61">
        <v>1.3999999999999999E-4</v>
      </c>
      <c r="V45" s="61">
        <v>6.8000000000000005E-4</v>
      </c>
      <c r="W45" s="61">
        <v>1.7000000000000001E-4</v>
      </c>
      <c r="X45" s="61">
        <v>0.1</v>
      </c>
      <c r="Y45" s="61">
        <v>0.14000000000000001</v>
      </c>
      <c r="Z45" s="61">
        <v>0.59</v>
      </c>
      <c r="AA45" s="62">
        <v>0</v>
      </c>
      <c r="AB45" s="29">
        <v>0.11</v>
      </c>
      <c r="AC45" s="29">
        <v>0.12</v>
      </c>
      <c r="AD45" s="29">
        <v>0.52</v>
      </c>
      <c r="AE45" s="62">
        <v>0</v>
      </c>
    </row>
    <row r="46" spans="1:31" ht="14">
      <c r="A46" s="6">
        <v>46</v>
      </c>
      <c r="B46" s="6" t="s">
        <v>40</v>
      </c>
      <c r="C46" s="6" t="s">
        <v>22</v>
      </c>
      <c r="D46" s="74">
        <v>101</v>
      </c>
      <c r="E46" s="74">
        <v>103</v>
      </c>
      <c r="F46" s="74">
        <v>37</v>
      </c>
      <c r="G46" s="75">
        <v>3778.9179650000001</v>
      </c>
      <c r="H46" s="75">
        <v>14.315841580000001</v>
      </c>
      <c r="I46" s="75">
        <v>1469.9429560000001</v>
      </c>
      <c r="J46" s="76">
        <v>0.34680134699999998</v>
      </c>
      <c r="K46" s="76">
        <v>1.5228429999999999E-2</v>
      </c>
      <c r="L46" s="76">
        <v>2.0396040000000001E-2</v>
      </c>
      <c r="M46" s="76">
        <v>4.6503040000000001E-3</v>
      </c>
      <c r="N46" s="76">
        <v>0.04</v>
      </c>
      <c r="O46" s="76">
        <v>0.01</v>
      </c>
      <c r="P46" s="76">
        <v>7.4251738999999997E-2</v>
      </c>
      <c r="Q46" s="76">
        <v>1.8191793000000001E-2</v>
      </c>
      <c r="R46" s="76">
        <v>0.10834240000000001</v>
      </c>
      <c r="S46" s="76">
        <v>4.3122035000000003E-2</v>
      </c>
      <c r="T46" s="77">
        <v>7.1895100000000001E-4</v>
      </c>
      <c r="U46" s="77">
        <v>1.6576399999999999E-4</v>
      </c>
      <c r="V46" s="77">
        <v>1.0484890000000001E-3</v>
      </c>
      <c r="W46" s="77">
        <v>4.0285199999999998E-4</v>
      </c>
      <c r="X46" s="77">
        <v>0.13450345</v>
      </c>
      <c r="Y46" s="77">
        <v>0.114584407</v>
      </c>
      <c r="Z46" s="77">
        <v>0.58424242000000004</v>
      </c>
      <c r="AA46" s="78">
        <v>0</v>
      </c>
      <c r="AB46" s="76">
        <v>0.13457145700000001</v>
      </c>
      <c r="AC46" s="76">
        <v>0.111673224</v>
      </c>
      <c r="AD46" s="76">
        <v>0.59111111000000005</v>
      </c>
      <c r="AE46" s="78">
        <v>0</v>
      </c>
    </row>
    <row r="47" spans="1:31" ht="12.5">
      <c r="A47" s="79">
        <v>47</v>
      </c>
      <c r="B47" s="79" t="s">
        <v>65</v>
      </c>
      <c r="C47" s="136" t="s">
        <v>20</v>
      </c>
      <c r="D47" s="80">
        <v>233</v>
      </c>
      <c r="E47" s="81">
        <v>449</v>
      </c>
      <c r="F47" s="81">
        <v>52</v>
      </c>
      <c r="G47" s="82">
        <v>5543.82</v>
      </c>
      <c r="H47" s="82">
        <v>18.97</v>
      </c>
      <c r="I47" s="82">
        <v>1965.05</v>
      </c>
      <c r="J47" s="83">
        <v>0.64800000000000002</v>
      </c>
      <c r="K47" s="83">
        <v>0.47099999999999997</v>
      </c>
      <c r="L47" s="83">
        <v>1.66E-2</v>
      </c>
      <c r="M47" s="83">
        <v>3.0000000000000001E-3</v>
      </c>
      <c r="N47" s="83">
        <v>2.5899999999999999E-2</v>
      </c>
      <c r="O47" s="83">
        <v>8.6E-3</v>
      </c>
      <c r="P47" s="53">
        <v>5.5599999999999997E-2</v>
      </c>
      <c r="Q47" s="53">
        <v>1.2500000000000001E-2</v>
      </c>
      <c r="R47" s="53">
        <v>7.5600000000000001E-2</v>
      </c>
      <c r="S47" s="53">
        <v>3.3369999999999997E-2</v>
      </c>
      <c r="T47" s="83">
        <v>5.1999999999999995E-4</v>
      </c>
      <c r="U47" s="53">
        <v>1.2E-4</v>
      </c>
      <c r="V47" s="53">
        <v>7.2000000000000005E-4</v>
      </c>
      <c r="W47" s="53">
        <v>2.9999999999999997E-4</v>
      </c>
      <c r="X47" s="53">
        <v>0.27227000000000001</v>
      </c>
      <c r="Y47" s="84">
        <v>1.18299336368411E-2</v>
      </c>
      <c r="Z47" s="83">
        <v>0.62958000000000003</v>
      </c>
      <c r="AA47" s="83">
        <v>0</v>
      </c>
      <c r="AB47" s="53">
        <v>0.27227499999999999</v>
      </c>
      <c r="AC47" s="53">
        <v>0.15712000000000001</v>
      </c>
      <c r="AD47" s="53">
        <v>0.629579</v>
      </c>
      <c r="AE47" s="83">
        <v>0</v>
      </c>
    </row>
    <row r="48" spans="1:31" ht="14">
      <c r="A48" s="6">
        <v>48</v>
      </c>
      <c r="B48" s="6" t="s">
        <v>43</v>
      </c>
      <c r="C48" s="6" t="s">
        <v>22</v>
      </c>
      <c r="D48" s="59">
        <v>57</v>
      </c>
      <c r="E48" s="59">
        <v>57</v>
      </c>
      <c r="F48" s="59">
        <v>23</v>
      </c>
      <c r="G48" s="60">
        <v>1934.4</v>
      </c>
      <c r="H48" s="60">
        <v>9.4204000000000008</v>
      </c>
      <c r="I48" s="60">
        <v>798.09</v>
      </c>
      <c r="J48" s="29">
        <v>0.34549999999999997</v>
      </c>
      <c r="K48" s="29">
        <v>9.1999999999999998E-3</v>
      </c>
      <c r="L48" s="29">
        <v>3.5714000000000003E-2</v>
      </c>
      <c r="M48" s="29">
        <v>1.0240000000000001E-2</v>
      </c>
      <c r="N48" s="29">
        <v>7.1429000000000006E-2</v>
      </c>
      <c r="O48" s="29">
        <v>1.7857000000000001E-2</v>
      </c>
      <c r="P48" s="76">
        <v>0.113751</v>
      </c>
      <c r="Q48" s="29">
        <v>3.9399999999999998E-4</v>
      </c>
      <c r="R48" s="29">
        <v>0.17665600000000001</v>
      </c>
      <c r="S48" s="29">
        <v>6.6271999999999998E-2</v>
      </c>
      <c r="T48" s="61">
        <v>1.359E-3</v>
      </c>
      <c r="U48" s="61">
        <v>3.9399999999999998E-4</v>
      </c>
      <c r="V48" s="61">
        <v>2.1250000000000002E-3</v>
      </c>
      <c r="W48" s="61">
        <v>7.8100000000000001E-4</v>
      </c>
      <c r="X48" s="61">
        <v>0.15309900000000001</v>
      </c>
      <c r="Y48" s="61">
        <v>0.117024</v>
      </c>
      <c r="Z48" s="61">
        <v>0.54090899999999997</v>
      </c>
      <c r="AA48" s="62">
        <v>0</v>
      </c>
      <c r="AB48" s="29">
        <v>0.15309900000000001</v>
      </c>
      <c r="AC48" s="29">
        <v>0.117024</v>
      </c>
      <c r="AD48" s="29">
        <v>0.54090899999999997</v>
      </c>
      <c r="AE48" s="62">
        <v>0</v>
      </c>
    </row>
    <row r="49" spans="1:31" ht="14">
      <c r="A49" s="6">
        <v>49</v>
      </c>
      <c r="B49" s="6" t="s">
        <v>66</v>
      </c>
      <c r="C49" s="6" t="s">
        <v>22</v>
      </c>
      <c r="D49" s="59">
        <v>76</v>
      </c>
      <c r="E49" s="59">
        <v>150</v>
      </c>
      <c r="F49" s="59">
        <v>35</v>
      </c>
      <c r="G49" s="60">
        <v>4398.7955000000002</v>
      </c>
      <c r="H49" s="60">
        <v>13.402806999999999</v>
      </c>
      <c r="I49" s="60">
        <v>1448.0505000000001</v>
      </c>
      <c r="J49" s="29">
        <v>0.34684599999999999</v>
      </c>
      <c r="K49" s="29">
        <v>1.360544E-2</v>
      </c>
      <c r="L49" s="29">
        <v>5.4050000000000001E-2</v>
      </c>
      <c r="M49" s="29">
        <v>1.0800000000000001E-2</v>
      </c>
      <c r="N49" s="29">
        <v>0.1081</v>
      </c>
      <c r="O49" s="29">
        <v>2.7E-2</v>
      </c>
      <c r="P49" s="29">
        <v>7.9600000000000004E-2</v>
      </c>
      <c r="Q49" s="29">
        <v>2.0500000000000001E-2</v>
      </c>
      <c r="R49" s="29">
        <v>0.1205</v>
      </c>
      <c r="S49" s="29">
        <v>4.5600000000000002E-2</v>
      </c>
      <c r="T49" s="29">
        <v>7.5344599999999996E-4</v>
      </c>
      <c r="U49" s="29">
        <v>2.2267000000000001E-4</v>
      </c>
      <c r="V49" s="29">
        <v>1.1421000000000001E-3</v>
      </c>
      <c r="W49" s="29">
        <v>3.8390499999999998E-4</v>
      </c>
      <c r="X49" s="61">
        <v>0.17030000000000001</v>
      </c>
      <c r="Y49" s="61">
        <v>0.13550000000000001</v>
      </c>
      <c r="Z49" s="61">
        <v>0.64590000000000003</v>
      </c>
      <c r="AA49" s="62">
        <v>0</v>
      </c>
      <c r="AB49" s="61">
        <v>0.17030000000000001</v>
      </c>
      <c r="AC49" s="61">
        <v>0.13607</v>
      </c>
      <c r="AD49" s="61">
        <v>0.65161051000000003</v>
      </c>
      <c r="AE49" s="62">
        <v>0</v>
      </c>
    </row>
    <row r="50" spans="1:31" ht="14">
      <c r="A50" s="6">
        <v>50</v>
      </c>
      <c r="B50" s="6" t="s">
        <v>61</v>
      </c>
      <c r="C50" s="6" t="s">
        <v>22</v>
      </c>
      <c r="D50" s="59">
        <v>98</v>
      </c>
      <c r="E50" s="59">
        <v>209</v>
      </c>
      <c r="F50" s="59">
        <v>27</v>
      </c>
      <c r="G50" s="60">
        <v>2679.875</v>
      </c>
      <c r="H50" s="60">
        <v>10.574</v>
      </c>
      <c r="I50" s="60">
        <v>954.33600000000001</v>
      </c>
      <c r="J50" s="29">
        <v>0.72599999999999998</v>
      </c>
      <c r="K50" s="29">
        <v>0.58599999999999997</v>
      </c>
      <c r="L50" s="29">
        <v>4.3999999999999997E-2</v>
      </c>
      <c r="M50" s="29">
        <v>1.5100000000000001E-2</v>
      </c>
      <c r="N50" s="29">
        <v>0.1031</v>
      </c>
      <c r="O50" s="29">
        <v>2.06E-2</v>
      </c>
      <c r="P50" s="29">
        <v>0.10050000000000001</v>
      </c>
      <c r="Q50" s="29">
        <v>2.5100000000000001E-2</v>
      </c>
      <c r="R50" s="29">
        <v>0.15060000000000001</v>
      </c>
      <c r="S50" s="29">
        <v>5.6599999999999998E-2</v>
      </c>
      <c r="T50" s="61">
        <v>1.1000000000000001E-3</v>
      </c>
      <c r="U50" s="61">
        <v>2.9999999999999997E-4</v>
      </c>
      <c r="V50" s="61">
        <v>1.6999999999999999E-3</v>
      </c>
      <c r="W50" s="61">
        <v>5.9999999999999995E-4</v>
      </c>
      <c r="X50" s="61">
        <v>0.1002</v>
      </c>
      <c r="Y50" s="61">
        <v>8.43E-2</v>
      </c>
      <c r="Z50" s="61">
        <v>0.38840000000000002</v>
      </c>
      <c r="AA50" s="62">
        <v>0</v>
      </c>
      <c r="AB50" s="29">
        <v>0.1004</v>
      </c>
      <c r="AC50" s="29">
        <v>8.4500000000000006E-2</v>
      </c>
      <c r="AD50" s="29">
        <v>0.39539999999999997</v>
      </c>
      <c r="AE50" s="62">
        <v>0</v>
      </c>
    </row>
    <row r="51" spans="1:31" ht="14">
      <c r="A51" s="6"/>
      <c r="B51" s="6"/>
      <c r="C51" s="7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  <c r="AA51" s="59"/>
      <c r="AB51" s="59"/>
      <c r="AC51" s="59"/>
      <c r="AD51" s="59"/>
      <c r="AE51" s="59"/>
    </row>
    <row r="52" spans="1:31" ht="12.5">
      <c r="A52" s="59"/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  <c r="AA52" s="59"/>
      <c r="AB52" s="59"/>
      <c r="AC52" s="59"/>
      <c r="AD52" s="59"/>
      <c r="AE52" s="59"/>
    </row>
    <row r="53" spans="1:31" ht="12.5">
      <c r="A53" s="61"/>
      <c r="B53" s="61"/>
      <c r="C53" s="61"/>
      <c r="D53" s="61"/>
      <c r="E53" s="61"/>
      <c r="F53" s="61"/>
      <c r="G53" s="84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84"/>
      <c r="Y53" s="85"/>
      <c r="Z53" s="85"/>
      <c r="AA53" s="61"/>
      <c r="AB53" s="84"/>
      <c r="AC53" s="84"/>
      <c r="AD53" s="85"/>
      <c r="AE53" s="61"/>
    </row>
    <row r="54" spans="1:31" ht="12.5">
      <c r="A54" s="59"/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59"/>
      <c r="AC54" s="59"/>
      <c r="AD54" s="59"/>
      <c r="AE54" s="59"/>
    </row>
    <row r="55" spans="1:31" ht="12.5">
      <c r="A55" s="59"/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  <c r="AA55" s="59"/>
      <c r="AB55" s="59"/>
      <c r="AC55" s="59"/>
      <c r="AD55" s="59"/>
      <c r="AE55" s="59"/>
    </row>
    <row r="56" spans="1:31" ht="12.5">
      <c r="A56" s="59"/>
      <c r="B56" s="59"/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  <c r="AA56" s="59"/>
      <c r="AB56" s="59"/>
      <c r="AC56" s="59"/>
      <c r="AD56" s="59"/>
      <c r="AE56" s="59"/>
    </row>
    <row r="57" spans="1:31" ht="12.5">
      <c r="A57" s="59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  <c r="AA57" s="59"/>
      <c r="AB57" s="59"/>
      <c r="AC57" s="59"/>
      <c r="AD57" s="59"/>
      <c r="AE57" s="59"/>
    </row>
    <row r="58" spans="1:31" ht="12.5">
      <c r="A58" s="59"/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  <c r="AA58" s="59"/>
      <c r="AB58" s="59"/>
      <c r="AC58" s="59"/>
      <c r="AD58" s="59"/>
      <c r="AE58" s="59"/>
    </row>
    <row r="59" spans="1:31" ht="12.5">
      <c r="A59" s="59"/>
      <c r="B59" s="59"/>
      <c r="C59" s="5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  <c r="AA59" s="59"/>
      <c r="AB59" s="59"/>
      <c r="AC59" s="59"/>
      <c r="AD59" s="59"/>
      <c r="AE59" s="59"/>
    </row>
    <row r="60" spans="1:31" ht="12.5">
      <c r="A60" s="59"/>
      <c r="B60" s="59"/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  <c r="AA60" s="59"/>
      <c r="AB60" s="59"/>
      <c r="AC60" s="59"/>
      <c r="AD60" s="59"/>
      <c r="AE60" s="59"/>
    </row>
    <row r="61" spans="1:31" ht="12.5">
      <c r="A61" s="59"/>
      <c r="B61" s="59"/>
      <c r="C61" s="5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  <c r="AA61" s="59"/>
      <c r="AB61" s="59"/>
      <c r="AC61" s="59"/>
      <c r="AD61" s="59"/>
      <c r="AE61" s="59"/>
    </row>
    <row r="62" spans="1:31" ht="12.5">
      <c r="A62" s="59"/>
      <c r="B62" s="59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  <c r="AB62" s="59"/>
      <c r="AC62" s="59"/>
      <c r="AD62" s="59"/>
      <c r="AE62" s="59"/>
    </row>
    <row r="63" spans="1:31" ht="12.5">
      <c r="A63" s="59"/>
      <c r="B63" s="59"/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  <c r="AA63" s="59"/>
      <c r="AB63" s="59"/>
      <c r="AC63" s="59"/>
      <c r="AD63" s="59"/>
      <c r="AE63" s="59"/>
    </row>
    <row r="64" spans="1:31" ht="12.5">
      <c r="A64" s="59"/>
      <c r="B64" s="59"/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  <c r="AA64" s="59"/>
      <c r="AB64" s="59"/>
      <c r="AC64" s="59"/>
      <c r="AD64" s="59"/>
      <c r="AE64" s="59"/>
    </row>
    <row r="65" spans="1:31" ht="12.5">
      <c r="A65" s="59"/>
      <c r="B65" s="59"/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  <c r="AA65" s="59"/>
      <c r="AB65" s="59"/>
      <c r="AC65" s="59"/>
      <c r="AD65" s="59"/>
      <c r="AE65" s="59"/>
    </row>
    <row r="66" spans="1:31" ht="12.5">
      <c r="A66" s="59"/>
      <c r="B66" s="59"/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  <c r="AA66" s="59"/>
      <c r="AB66" s="59"/>
      <c r="AC66" s="59"/>
      <c r="AD66" s="59"/>
      <c r="AE66" s="59"/>
    </row>
    <row r="67" spans="1:31" ht="12.5">
      <c r="A67" s="59"/>
      <c r="B67" s="59"/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  <c r="AA67" s="59"/>
      <c r="AB67" s="59"/>
      <c r="AC67" s="59"/>
      <c r="AD67" s="59"/>
      <c r="AE67" s="59"/>
    </row>
    <row r="68" spans="1:31" ht="12.5">
      <c r="A68" s="59"/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  <c r="AB68" s="59"/>
      <c r="AC68" s="59"/>
      <c r="AD68" s="59"/>
      <c r="AE68" s="59"/>
    </row>
    <row r="69" spans="1:31" ht="12.5">
      <c r="A69" s="59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  <c r="AB69" s="59"/>
      <c r="AC69" s="59"/>
      <c r="AD69" s="59"/>
      <c r="AE69" s="59"/>
    </row>
    <row r="70" spans="1:31" ht="12.5">
      <c r="A70" s="59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  <c r="AB70" s="59"/>
      <c r="AC70" s="59"/>
      <c r="AD70" s="59"/>
      <c r="AE70" s="59"/>
    </row>
    <row r="71" spans="1:31" ht="12.5">
      <c r="A71" s="59"/>
      <c r="B71" s="59"/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  <c r="AA71" s="59"/>
      <c r="AB71" s="59"/>
      <c r="AC71" s="59"/>
      <c r="AD71" s="59"/>
      <c r="AE71" s="59"/>
    </row>
    <row r="72" spans="1:31" ht="12.5">
      <c r="A72" s="59"/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  <c r="AA72" s="59"/>
      <c r="AB72" s="59"/>
      <c r="AC72" s="59"/>
      <c r="AD72" s="59"/>
      <c r="AE72" s="59"/>
    </row>
    <row r="73" spans="1:31" ht="12.5">
      <c r="A73" s="59"/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  <c r="AA73" s="59"/>
      <c r="AB73" s="59"/>
      <c r="AC73" s="59"/>
      <c r="AD73" s="59"/>
      <c r="AE73" s="59"/>
    </row>
    <row r="74" spans="1:31" ht="12.5">
      <c r="A74" s="59"/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  <c r="AA74" s="59"/>
      <c r="AB74" s="59"/>
      <c r="AC74" s="59"/>
      <c r="AD74" s="59"/>
      <c r="AE74" s="59"/>
    </row>
    <row r="75" spans="1:31" ht="12.5">
      <c r="A75" s="59"/>
      <c r="B75" s="59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  <c r="AA75" s="59"/>
      <c r="AB75" s="59"/>
      <c r="AC75" s="59"/>
      <c r="AD75" s="59"/>
      <c r="AE75" s="59"/>
    </row>
    <row r="76" spans="1:31" ht="12.5">
      <c r="A76" s="59"/>
      <c r="B76" s="59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  <c r="AA76" s="59"/>
      <c r="AB76" s="59"/>
      <c r="AC76" s="59"/>
      <c r="AD76" s="59"/>
      <c r="AE76" s="59"/>
    </row>
    <row r="77" spans="1:31" ht="12.5">
      <c r="A77" s="59"/>
      <c r="B77" s="59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59"/>
      <c r="AC77" s="59"/>
      <c r="AD77" s="59"/>
      <c r="AE77" s="59"/>
    </row>
    <row r="78" spans="1:31" ht="12.5">
      <c r="A78" s="59"/>
      <c r="B78" s="59"/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  <c r="AA78" s="59"/>
      <c r="AB78" s="59"/>
      <c r="AC78" s="59"/>
      <c r="AD78" s="59"/>
      <c r="AE78" s="59"/>
    </row>
    <row r="79" spans="1:31" ht="12.5">
      <c r="A79" s="59"/>
      <c r="B79" s="59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  <c r="AA79" s="59"/>
      <c r="AB79" s="59"/>
      <c r="AC79" s="59"/>
      <c r="AD79" s="59"/>
      <c r="AE79" s="59"/>
    </row>
    <row r="80" spans="1:31" ht="12.5">
      <c r="A80" s="59"/>
      <c r="B80" s="59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  <c r="AA80" s="59"/>
      <c r="AB80" s="59"/>
      <c r="AC80" s="59"/>
      <c r="AD80" s="59"/>
      <c r="AE80" s="59"/>
    </row>
    <row r="81" spans="1:31" ht="12.5">
      <c r="A81" s="59"/>
      <c r="B81" s="59"/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  <c r="AA81" s="59"/>
      <c r="AB81" s="59"/>
      <c r="AC81" s="59"/>
      <c r="AD81" s="59"/>
      <c r="AE81" s="59"/>
    </row>
    <row r="82" spans="1:31" ht="12.5">
      <c r="A82" s="59"/>
      <c r="B82" s="59"/>
      <c r="C82" s="59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  <c r="AA82" s="59"/>
      <c r="AB82" s="59"/>
      <c r="AC82" s="59"/>
      <c r="AD82" s="59"/>
      <c r="AE82" s="59"/>
    </row>
    <row r="83" spans="1:31" ht="12.5">
      <c r="A83" s="59"/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  <c r="AA83" s="59"/>
      <c r="AB83" s="59"/>
      <c r="AC83" s="59"/>
      <c r="AD83" s="59"/>
      <c r="AE83" s="59"/>
    </row>
    <row r="84" spans="1:31" ht="12.5">
      <c r="A84" s="59"/>
      <c r="B84" s="59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  <c r="AA84" s="59"/>
      <c r="AB84" s="59"/>
      <c r="AC84" s="59"/>
      <c r="AD84" s="59"/>
      <c r="AE84" s="59"/>
    </row>
    <row r="85" spans="1:31" ht="12.5">
      <c r="A85" s="59"/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  <c r="AA85" s="59"/>
      <c r="AB85" s="59"/>
      <c r="AC85" s="59"/>
      <c r="AD85" s="59"/>
      <c r="AE85" s="59"/>
    </row>
    <row r="86" spans="1:31" ht="12.5">
      <c r="A86" s="59"/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  <c r="AA86" s="59"/>
      <c r="AB86" s="59"/>
      <c r="AC86" s="59"/>
      <c r="AD86" s="59"/>
      <c r="AE86" s="59"/>
    </row>
    <row r="87" spans="1:31" ht="12.5">
      <c r="A87" s="59"/>
      <c r="B87" s="59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  <c r="AA87" s="59"/>
      <c r="AB87" s="59"/>
      <c r="AC87" s="59"/>
      <c r="AD87" s="59"/>
      <c r="AE87" s="59"/>
    </row>
    <row r="88" spans="1:31" ht="12.5">
      <c r="A88" s="59"/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  <c r="AA88" s="59"/>
      <c r="AB88" s="59"/>
      <c r="AC88" s="59"/>
      <c r="AD88" s="59"/>
      <c r="AE88" s="59"/>
    </row>
    <row r="89" spans="1:31" ht="12.5">
      <c r="A89" s="59"/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  <c r="AA89" s="59"/>
      <c r="AB89" s="59"/>
      <c r="AC89" s="59"/>
      <c r="AD89" s="59"/>
      <c r="AE89" s="59"/>
    </row>
    <row r="90" spans="1:31" ht="12.5">
      <c r="A90" s="59"/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  <c r="AA90" s="59"/>
      <c r="AB90" s="59"/>
      <c r="AC90" s="59"/>
      <c r="AD90" s="59"/>
      <c r="AE90" s="59"/>
    </row>
    <row r="91" spans="1:31" ht="12.5">
      <c r="A91" s="59"/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  <c r="AA91" s="59"/>
      <c r="AB91" s="59"/>
      <c r="AC91" s="59"/>
      <c r="AD91" s="59"/>
      <c r="AE91" s="59"/>
    </row>
    <row r="92" spans="1:31" ht="12.5">
      <c r="A92" s="59"/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  <c r="AA92" s="59"/>
      <c r="AB92" s="59"/>
      <c r="AC92" s="59"/>
      <c r="AD92" s="59"/>
      <c r="AE92" s="59"/>
    </row>
    <row r="93" spans="1:31" ht="12.5">
      <c r="A93" s="59"/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  <c r="AA93" s="59"/>
      <c r="AB93" s="59"/>
      <c r="AC93" s="59"/>
      <c r="AD93" s="59"/>
      <c r="AE93" s="59"/>
    </row>
    <row r="94" spans="1:31" ht="12.5">
      <c r="A94" s="59"/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  <c r="AA94" s="59"/>
      <c r="AB94" s="59"/>
      <c r="AC94" s="59"/>
      <c r="AD94" s="59"/>
      <c r="AE94" s="59"/>
    </row>
    <row r="95" spans="1:31" ht="12.5">
      <c r="A95" s="59"/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  <c r="AA95" s="59"/>
      <c r="AB95" s="59"/>
      <c r="AC95" s="59"/>
      <c r="AD95" s="59"/>
      <c r="AE95" s="59"/>
    </row>
    <row r="96" spans="1:31" ht="12.5">
      <c r="A96" s="59"/>
      <c r="B96" s="59"/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  <c r="AA96" s="59"/>
      <c r="AB96" s="59"/>
      <c r="AC96" s="59"/>
      <c r="AD96" s="59"/>
      <c r="AE96" s="59"/>
    </row>
    <row r="97" spans="1:31" ht="12.5">
      <c r="A97" s="59"/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  <c r="AA97" s="59"/>
      <c r="AB97" s="59"/>
      <c r="AC97" s="59"/>
      <c r="AD97" s="59"/>
      <c r="AE97" s="59"/>
    </row>
    <row r="98" spans="1:31" ht="12.5">
      <c r="A98" s="59"/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  <c r="AA98" s="59"/>
      <c r="AB98" s="59"/>
      <c r="AC98" s="59"/>
      <c r="AD98" s="59"/>
      <c r="AE98" s="59"/>
    </row>
    <row r="99" spans="1:31" ht="12.5">
      <c r="A99" s="59"/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  <c r="AA99" s="59"/>
      <c r="AB99" s="59"/>
      <c r="AC99" s="59"/>
      <c r="AD99" s="59"/>
      <c r="AE99" s="59"/>
    </row>
    <row r="100" spans="1:31" ht="12.5">
      <c r="A100" s="59"/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  <c r="AA100" s="59"/>
      <c r="AB100" s="59"/>
      <c r="AC100" s="59"/>
      <c r="AD100" s="59"/>
      <c r="AE100" s="59"/>
    </row>
    <row r="101" spans="1:31" ht="12.5">
      <c r="A101" s="59"/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  <c r="AA101" s="59"/>
      <c r="AB101" s="59"/>
      <c r="AC101" s="59"/>
      <c r="AD101" s="59"/>
      <c r="AE101" s="59"/>
    </row>
    <row r="102" spans="1:31" ht="12.5">
      <c r="A102" s="59"/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  <c r="AA102" s="59"/>
      <c r="AB102" s="59"/>
      <c r="AC102" s="59"/>
      <c r="AD102" s="59"/>
      <c r="AE102" s="59"/>
    </row>
    <row r="103" spans="1:31" ht="12.5">
      <c r="A103" s="59"/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  <c r="AA103" s="59"/>
      <c r="AB103" s="59"/>
      <c r="AC103" s="59"/>
      <c r="AD103" s="59"/>
      <c r="AE103" s="59"/>
    </row>
    <row r="104" spans="1:31" ht="12.5">
      <c r="A104" s="59"/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  <c r="AA104" s="59"/>
      <c r="AB104" s="59"/>
      <c r="AC104" s="59"/>
      <c r="AD104" s="59"/>
      <c r="AE104" s="59"/>
    </row>
    <row r="105" spans="1:31" ht="12.5">
      <c r="A105" s="59"/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  <c r="AA105" s="59"/>
      <c r="AB105" s="59"/>
      <c r="AC105" s="59"/>
      <c r="AD105" s="59"/>
      <c r="AE105" s="59"/>
    </row>
    <row r="106" spans="1:31" ht="12.5">
      <c r="A106" s="59"/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  <c r="AA106" s="59"/>
      <c r="AB106" s="59"/>
      <c r="AC106" s="59"/>
      <c r="AD106" s="59"/>
      <c r="AE106" s="59"/>
    </row>
    <row r="107" spans="1:31" ht="12.5">
      <c r="A107" s="59"/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  <c r="AA107" s="59"/>
      <c r="AB107" s="59"/>
      <c r="AC107" s="59"/>
      <c r="AD107" s="59"/>
      <c r="AE107" s="59"/>
    </row>
    <row r="108" spans="1:31" ht="12.5">
      <c r="A108" s="59"/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  <c r="AA108" s="59"/>
      <c r="AB108" s="59"/>
      <c r="AC108" s="59"/>
      <c r="AD108" s="59"/>
      <c r="AE108" s="59"/>
    </row>
    <row r="109" spans="1:31" ht="12.5">
      <c r="A109" s="59"/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  <c r="AA109" s="59"/>
      <c r="AB109" s="59"/>
      <c r="AC109" s="59"/>
      <c r="AD109" s="59"/>
      <c r="AE109" s="59"/>
    </row>
    <row r="110" spans="1:31" ht="12.5">
      <c r="A110" s="59"/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  <c r="AA110" s="59"/>
      <c r="AB110" s="59"/>
      <c r="AC110" s="59"/>
      <c r="AD110" s="59"/>
      <c r="AE110" s="59"/>
    </row>
    <row r="111" spans="1:31" ht="12.5">
      <c r="A111" s="59"/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  <c r="AA111" s="59"/>
      <c r="AB111" s="59"/>
      <c r="AC111" s="59"/>
      <c r="AD111" s="59"/>
      <c r="AE111" s="59"/>
    </row>
    <row r="112" spans="1:31" ht="12.5">
      <c r="A112" s="59"/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  <c r="AA112" s="59"/>
      <c r="AB112" s="59"/>
      <c r="AC112" s="59"/>
      <c r="AD112" s="59"/>
      <c r="AE112" s="59"/>
    </row>
    <row r="113" spans="1:31" ht="12.5">
      <c r="A113" s="59"/>
      <c r="B113" s="59"/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  <c r="AA113" s="59"/>
      <c r="AB113" s="59"/>
      <c r="AC113" s="59"/>
      <c r="AD113" s="59"/>
      <c r="AE113" s="59"/>
    </row>
    <row r="114" spans="1:31" ht="12.5">
      <c r="A114" s="59"/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  <c r="AA114" s="59"/>
      <c r="AB114" s="59"/>
      <c r="AC114" s="59"/>
      <c r="AD114" s="59"/>
      <c r="AE114" s="59"/>
    </row>
    <row r="115" spans="1:31" ht="12.5">
      <c r="A115" s="59"/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  <c r="AA115" s="59"/>
      <c r="AB115" s="59"/>
      <c r="AC115" s="59"/>
      <c r="AD115" s="59"/>
      <c r="AE115" s="59"/>
    </row>
    <row r="116" spans="1:31" ht="12.5">
      <c r="A116" s="59"/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  <c r="AA116" s="59"/>
      <c r="AB116" s="59"/>
      <c r="AC116" s="59"/>
      <c r="AD116" s="59"/>
      <c r="AE116" s="59"/>
    </row>
    <row r="117" spans="1:31" ht="12.5">
      <c r="A117" s="59"/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  <c r="AA117" s="59"/>
      <c r="AB117" s="59"/>
      <c r="AC117" s="59"/>
      <c r="AD117" s="59"/>
      <c r="AE117" s="59"/>
    </row>
    <row r="118" spans="1:31" ht="12.5">
      <c r="A118" s="59"/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  <c r="AA118" s="59"/>
      <c r="AB118" s="59"/>
      <c r="AC118" s="59"/>
      <c r="AD118" s="59"/>
      <c r="AE118" s="59"/>
    </row>
    <row r="119" spans="1:31" ht="12.5">
      <c r="A119" s="59"/>
      <c r="B119" s="59"/>
      <c r="C119" s="59"/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  <c r="AA119" s="59"/>
      <c r="AB119" s="59"/>
      <c r="AC119" s="59"/>
      <c r="AD119" s="59"/>
      <c r="AE119" s="59"/>
    </row>
    <row r="120" spans="1:31" ht="12.5">
      <c r="A120" s="59"/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  <c r="AA120" s="59"/>
      <c r="AB120" s="59"/>
      <c r="AC120" s="59"/>
      <c r="AD120" s="59"/>
      <c r="AE120" s="59"/>
    </row>
    <row r="121" spans="1:31" ht="12.5">
      <c r="A121" s="59"/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  <c r="AA121" s="59"/>
      <c r="AB121" s="59"/>
      <c r="AC121" s="59"/>
      <c r="AD121" s="59"/>
      <c r="AE121" s="59"/>
    </row>
    <row r="122" spans="1:31" ht="12.5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  <c r="AA122" s="59"/>
      <c r="AB122" s="59"/>
      <c r="AC122" s="59"/>
      <c r="AD122" s="59"/>
      <c r="AE122" s="59"/>
    </row>
    <row r="123" spans="1:31" ht="12.5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  <c r="AA123" s="59"/>
      <c r="AB123" s="59"/>
      <c r="AC123" s="59"/>
      <c r="AD123" s="59"/>
      <c r="AE123" s="59"/>
    </row>
    <row r="124" spans="1:31" ht="12.5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  <c r="AA124" s="59"/>
      <c r="AB124" s="59"/>
      <c r="AC124" s="59"/>
      <c r="AD124" s="59"/>
      <c r="AE124" s="59"/>
    </row>
    <row r="125" spans="1:31" ht="12.5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  <c r="AA125" s="59"/>
      <c r="AB125" s="59"/>
      <c r="AC125" s="59"/>
      <c r="AD125" s="59"/>
      <c r="AE125" s="59"/>
    </row>
    <row r="126" spans="1:31" ht="12.5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  <c r="AA126" s="59"/>
      <c r="AB126" s="59"/>
      <c r="AC126" s="59"/>
      <c r="AD126" s="59"/>
      <c r="AE126" s="59"/>
    </row>
    <row r="127" spans="1:31" ht="12.5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  <c r="AA127" s="59"/>
      <c r="AB127" s="59"/>
      <c r="AC127" s="59"/>
      <c r="AD127" s="59"/>
      <c r="AE127" s="59"/>
    </row>
    <row r="128" spans="1:31" ht="12.5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  <c r="AA128" s="59"/>
      <c r="AB128" s="59"/>
      <c r="AC128" s="59"/>
      <c r="AD128" s="59"/>
      <c r="AE128" s="59"/>
    </row>
    <row r="129" spans="1:31" ht="12.5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  <c r="AA129" s="59"/>
      <c r="AB129" s="59"/>
      <c r="AC129" s="59"/>
      <c r="AD129" s="59"/>
      <c r="AE129" s="59"/>
    </row>
    <row r="130" spans="1:31" ht="12.5">
      <c r="A130" s="59"/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  <c r="AA130" s="59"/>
      <c r="AB130" s="59"/>
      <c r="AC130" s="59"/>
      <c r="AD130" s="59"/>
      <c r="AE130" s="59"/>
    </row>
    <row r="131" spans="1:31" ht="12.5">
      <c r="A131" s="59"/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  <c r="AA131" s="59"/>
      <c r="AB131" s="59"/>
      <c r="AC131" s="59"/>
      <c r="AD131" s="59"/>
      <c r="AE131" s="59"/>
    </row>
    <row r="132" spans="1:31" ht="12.5">
      <c r="A132" s="59"/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  <c r="AA132" s="59"/>
      <c r="AB132" s="59"/>
      <c r="AC132" s="59"/>
      <c r="AD132" s="59"/>
      <c r="AE132" s="59"/>
    </row>
    <row r="133" spans="1:31" ht="12.5">
      <c r="A133" s="59"/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  <c r="AA133" s="59"/>
      <c r="AB133" s="59"/>
      <c r="AC133" s="59"/>
      <c r="AD133" s="59"/>
      <c r="AE133" s="59"/>
    </row>
    <row r="134" spans="1:31" ht="12.5">
      <c r="A134" s="59"/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  <c r="AA134" s="59"/>
      <c r="AB134" s="59"/>
      <c r="AC134" s="59"/>
      <c r="AD134" s="59"/>
      <c r="AE134" s="59"/>
    </row>
    <row r="135" spans="1:31" ht="12.5">
      <c r="A135" s="59"/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  <c r="AA135" s="59"/>
      <c r="AB135" s="59"/>
      <c r="AC135" s="59"/>
      <c r="AD135" s="59"/>
      <c r="AE135" s="59"/>
    </row>
    <row r="136" spans="1:31" ht="12.5">
      <c r="A136" s="59"/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  <c r="AA136" s="59"/>
      <c r="AB136" s="59"/>
      <c r="AC136" s="59"/>
      <c r="AD136" s="59"/>
      <c r="AE136" s="59"/>
    </row>
    <row r="137" spans="1:31" ht="12.5">
      <c r="A137" s="59"/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  <c r="AA137" s="59"/>
      <c r="AB137" s="59"/>
      <c r="AC137" s="59"/>
      <c r="AD137" s="59"/>
      <c r="AE137" s="59"/>
    </row>
    <row r="138" spans="1:31" ht="12.5">
      <c r="A138" s="59"/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  <c r="AA138" s="59"/>
      <c r="AB138" s="59"/>
      <c r="AC138" s="59"/>
      <c r="AD138" s="59"/>
      <c r="AE138" s="59"/>
    </row>
    <row r="139" spans="1:31" ht="12.5">
      <c r="A139" s="59"/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  <c r="AA139" s="59"/>
      <c r="AB139" s="59"/>
      <c r="AC139" s="59"/>
      <c r="AD139" s="59"/>
      <c r="AE139" s="59"/>
    </row>
    <row r="140" spans="1:31" ht="12.5">
      <c r="A140" s="59"/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  <c r="AA140" s="59"/>
      <c r="AB140" s="59"/>
      <c r="AC140" s="59"/>
      <c r="AD140" s="59"/>
      <c r="AE140" s="59"/>
    </row>
    <row r="141" spans="1:31" ht="12.5">
      <c r="A141" s="59"/>
      <c r="B141" s="59"/>
      <c r="C141" s="59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  <c r="AA141" s="59"/>
      <c r="AB141" s="59"/>
      <c r="AC141" s="59"/>
      <c r="AD141" s="59"/>
      <c r="AE141" s="59"/>
    </row>
    <row r="142" spans="1:31" ht="12.5">
      <c r="A142" s="59"/>
      <c r="B142" s="59"/>
      <c r="C142" s="59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  <c r="AA142" s="59"/>
      <c r="AB142" s="59"/>
      <c r="AC142" s="59"/>
      <c r="AD142" s="59"/>
      <c r="AE142" s="59"/>
    </row>
    <row r="143" spans="1:31" ht="12.5">
      <c r="A143" s="59"/>
      <c r="B143" s="59"/>
      <c r="C143" s="59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  <c r="AA143" s="59"/>
      <c r="AB143" s="59"/>
      <c r="AC143" s="59"/>
      <c r="AD143" s="59"/>
      <c r="AE143" s="59"/>
    </row>
    <row r="144" spans="1:31" ht="12.5">
      <c r="A144" s="59"/>
      <c r="B144" s="59"/>
      <c r="C144" s="59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  <c r="AA144" s="59"/>
      <c r="AB144" s="59"/>
      <c r="AC144" s="59"/>
      <c r="AD144" s="59"/>
      <c r="AE144" s="59"/>
    </row>
    <row r="145" spans="1:31" ht="12.5">
      <c r="A145" s="59"/>
      <c r="B145" s="59"/>
      <c r="C145" s="59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  <c r="AA145" s="59"/>
      <c r="AB145" s="59"/>
      <c r="AC145" s="59"/>
      <c r="AD145" s="59"/>
      <c r="AE145" s="59"/>
    </row>
    <row r="146" spans="1:31" ht="12.5">
      <c r="A146" s="59"/>
      <c r="B146" s="59"/>
      <c r="C146" s="59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  <c r="AA146" s="59"/>
      <c r="AB146" s="59"/>
      <c r="AC146" s="59"/>
      <c r="AD146" s="59"/>
      <c r="AE146" s="59"/>
    </row>
    <row r="147" spans="1:31" ht="12.5">
      <c r="A147" s="59"/>
      <c r="B147" s="59"/>
      <c r="C147" s="59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  <c r="AA147" s="59"/>
      <c r="AB147" s="59"/>
      <c r="AC147" s="59"/>
      <c r="AD147" s="59"/>
      <c r="AE147" s="59"/>
    </row>
    <row r="148" spans="1:31" ht="12.5">
      <c r="A148" s="59"/>
      <c r="B148" s="59"/>
      <c r="C148" s="59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  <c r="AA148" s="59"/>
      <c r="AB148" s="59"/>
      <c r="AC148" s="59"/>
      <c r="AD148" s="59"/>
      <c r="AE148" s="59"/>
    </row>
    <row r="149" spans="1:31" ht="12.5">
      <c r="A149" s="59"/>
      <c r="B149" s="59"/>
      <c r="C149" s="59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  <c r="AA149" s="59"/>
      <c r="AB149" s="59"/>
      <c r="AC149" s="59"/>
      <c r="AD149" s="59"/>
      <c r="AE149" s="59"/>
    </row>
    <row r="150" spans="1:31" ht="12.5">
      <c r="A150" s="59"/>
      <c r="B150" s="59"/>
      <c r="C150" s="59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  <c r="AA150" s="59"/>
      <c r="AB150" s="59"/>
      <c r="AC150" s="59"/>
      <c r="AD150" s="59"/>
      <c r="AE150" s="59"/>
    </row>
    <row r="151" spans="1:31" ht="12.5">
      <c r="A151" s="59"/>
      <c r="B151" s="59"/>
      <c r="C151" s="59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  <c r="AA151" s="59"/>
      <c r="AB151" s="59"/>
      <c r="AC151" s="59"/>
      <c r="AD151" s="59"/>
      <c r="AE151" s="59"/>
    </row>
    <row r="152" spans="1:31" ht="12.5">
      <c r="A152" s="59"/>
      <c r="B152" s="59"/>
      <c r="C152" s="59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  <c r="AA152" s="59"/>
      <c r="AB152" s="59"/>
      <c r="AC152" s="59"/>
      <c r="AD152" s="59"/>
      <c r="AE152" s="59"/>
    </row>
    <row r="153" spans="1:31" ht="12.5">
      <c r="A153" s="59"/>
      <c r="B153" s="59"/>
      <c r="C153" s="59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  <c r="AA153" s="59"/>
      <c r="AB153" s="59"/>
      <c r="AC153" s="59"/>
      <c r="AD153" s="59"/>
      <c r="AE153" s="59"/>
    </row>
    <row r="154" spans="1:31" ht="12.5">
      <c r="A154" s="59"/>
      <c r="B154" s="59"/>
      <c r="C154" s="59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  <c r="AA154" s="59"/>
      <c r="AB154" s="59"/>
      <c r="AC154" s="59"/>
      <c r="AD154" s="59"/>
      <c r="AE154" s="59"/>
    </row>
    <row r="155" spans="1:31" ht="12.5">
      <c r="A155" s="59"/>
      <c r="B155" s="59"/>
      <c r="C155" s="59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  <c r="AA155" s="59"/>
      <c r="AB155" s="59"/>
      <c r="AC155" s="59"/>
      <c r="AD155" s="59"/>
      <c r="AE155" s="59"/>
    </row>
    <row r="156" spans="1:31" ht="12.5">
      <c r="A156" s="59"/>
      <c r="B156" s="59"/>
      <c r="C156" s="59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  <c r="AA156" s="59"/>
      <c r="AB156" s="59"/>
      <c r="AC156" s="59"/>
      <c r="AD156" s="59"/>
      <c r="AE156" s="59"/>
    </row>
    <row r="157" spans="1:31" ht="12.5">
      <c r="A157" s="59"/>
      <c r="B157" s="59"/>
      <c r="C157" s="59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  <c r="AA157" s="59"/>
      <c r="AB157" s="59"/>
      <c r="AC157" s="59"/>
      <c r="AD157" s="59"/>
      <c r="AE157" s="59"/>
    </row>
    <row r="158" spans="1:31" ht="12.5">
      <c r="A158" s="59"/>
      <c r="B158" s="59"/>
      <c r="C158" s="59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  <c r="AA158" s="59"/>
      <c r="AB158" s="59"/>
      <c r="AC158" s="59"/>
      <c r="AD158" s="59"/>
      <c r="AE158" s="59"/>
    </row>
    <row r="159" spans="1:31" ht="12.5">
      <c r="A159" s="59"/>
      <c r="B159" s="59"/>
      <c r="C159" s="59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  <c r="AA159" s="59"/>
      <c r="AB159" s="59"/>
      <c r="AC159" s="59"/>
      <c r="AD159" s="59"/>
      <c r="AE159" s="59"/>
    </row>
    <row r="160" spans="1:31" ht="12.5">
      <c r="A160" s="59"/>
      <c r="B160" s="59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  <c r="AA160" s="59"/>
      <c r="AB160" s="59"/>
      <c r="AC160" s="59"/>
      <c r="AD160" s="59"/>
      <c r="AE160" s="59"/>
    </row>
    <row r="161" spans="1:31" ht="12.5">
      <c r="A161" s="59"/>
      <c r="B161" s="59"/>
      <c r="C161" s="59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  <c r="AA161" s="59"/>
      <c r="AB161" s="59"/>
      <c r="AC161" s="59"/>
      <c r="AD161" s="59"/>
      <c r="AE161" s="59"/>
    </row>
    <row r="162" spans="1:31" ht="12.5">
      <c r="A162" s="59"/>
      <c r="B162" s="59"/>
      <c r="C162" s="59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  <c r="AA162" s="59"/>
      <c r="AB162" s="59"/>
      <c r="AC162" s="59"/>
      <c r="AD162" s="59"/>
      <c r="AE162" s="59"/>
    </row>
    <row r="163" spans="1:31" ht="12.5">
      <c r="A163" s="59"/>
      <c r="B163" s="59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  <c r="AA163" s="59"/>
      <c r="AB163" s="59"/>
      <c r="AC163" s="59"/>
      <c r="AD163" s="59"/>
      <c r="AE163" s="59"/>
    </row>
    <row r="164" spans="1:31" ht="12.5">
      <c r="A164" s="59"/>
      <c r="B164" s="59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  <c r="AA164" s="59"/>
      <c r="AB164" s="59"/>
      <c r="AC164" s="59"/>
      <c r="AD164" s="59"/>
      <c r="AE164" s="59"/>
    </row>
    <row r="165" spans="1:31" ht="12.5">
      <c r="A165" s="59"/>
      <c r="B165" s="59"/>
      <c r="C165" s="59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  <c r="AA165" s="59"/>
      <c r="AB165" s="59"/>
      <c r="AC165" s="59"/>
      <c r="AD165" s="59"/>
      <c r="AE165" s="59"/>
    </row>
    <row r="166" spans="1:31" ht="12.5">
      <c r="A166" s="59"/>
      <c r="B166" s="59"/>
      <c r="C166" s="59"/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  <c r="AA166" s="59"/>
      <c r="AB166" s="59"/>
      <c r="AC166" s="59"/>
      <c r="AD166" s="59"/>
      <c r="AE166" s="59"/>
    </row>
    <row r="167" spans="1:31" ht="12.5">
      <c r="A167" s="59"/>
      <c r="B167" s="59"/>
      <c r="C167" s="59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  <c r="AA167" s="59"/>
      <c r="AB167" s="59"/>
      <c r="AC167" s="59"/>
      <c r="AD167" s="59"/>
      <c r="AE167" s="59"/>
    </row>
    <row r="168" spans="1:31" ht="12.5">
      <c r="A168" s="59"/>
      <c r="B168" s="59"/>
      <c r="C168" s="59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  <c r="AA168" s="59"/>
      <c r="AB168" s="59"/>
      <c r="AC168" s="59"/>
      <c r="AD168" s="59"/>
      <c r="AE168" s="59"/>
    </row>
    <row r="169" spans="1:31" ht="12.5">
      <c r="A169" s="59"/>
      <c r="B169" s="59"/>
      <c r="C169" s="59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  <c r="AA169" s="59"/>
      <c r="AB169" s="59"/>
      <c r="AC169" s="59"/>
      <c r="AD169" s="59"/>
      <c r="AE169" s="59"/>
    </row>
    <row r="170" spans="1:31" ht="12.5">
      <c r="A170" s="59"/>
      <c r="B170" s="59"/>
      <c r="C170" s="59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  <c r="AA170" s="59"/>
      <c r="AB170" s="59"/>
      <c r="AC170" s="59"/>
      <c r="AD170" s="59"/>
      <c r="AE170" s="59"/>
    </row>
    <row r="171" spans="1:31" ht="12.5">
      <c r="A171" s="59"/>
      <c r="B171" s="59"/>
      <c r="C171" s="59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  <c r="AA171" s="59"/>
      <c r="AB171" s="59"/>
      <c r="AC171" s="59"/>
      <c r="AD171" s="59"/>
      <c r="AE171" s="59"/>
    </row>
    <row r="172" spans="1:31" ht="12.5">
      <c r="A172" s="59"/>
      <c r="B172" s="59"/>
      <c r="C172" s="59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  <c r="AA172" s="59"/>
      <c r="AB172" s="59"/>
      <c r="AC172" s="59"/>
      <c r="AD172" s="59"/>
      <c r="AE172" s="59"/>
    </row>
    <row r="173" spans="1:31" ht="12.5">
      <c r="A173" s="59"/>
      <c r="B173" s="59"/>
      <c r="C173" s="59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  <c r="AA173" s="59"/>
      <c r="AB173" s="59"/>
      <c r="AC173" s="59"/>
      <c r="AD173" s="59"/>
      <c r="AE173" s="59"/>
    </row>
    <row r="174" spans="1:31" ht="12.5">
      <c r="A174" s="59"/>
      <c r="B174" s="59"/>
      <c r="C174" s="59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  <c r="AA174" s="59"/>
      <c r="AB174" s="59"/>
      <c r="AC174" s="59"/>
      <c r="AD174" s="59"/>
      <c r="AE174" s="59"/>
    </row>
    <row r="175" spans="1:31" ht="12.5">
      <c r="A175" s="59"/>
      <c r="B175" s="59"/>
      <c r="C175" s="59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  <c r="AA175" s="59"/>
      <c r="AB175" s="59"/>
      <c r="AC175" s="59"/>
      <c r="AD175" s="59"/>
      <c r="AE175" s="59"/>
    </row>
    <row r="176" spans="1:31" ht="12.5">
      <c r="A176" s="59"/>
      <c r="B176" s="59"/>
      <c r="C176" s="59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  <c r="AA176" s="59"/>
      <c r="AB176" s="59"/>
      <c r="AC176" s="59"/>
      <c r="AD176" s="59"/>
      <c r="AE176" s="59"/>
    </row>
    <row r="177" spans="1:31" ht="12.5">
      <c r="A177" s="59"/>
      <c r="B177" s="59"/>
      <c r="C177" s="59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  <c r="AA177" s="59"/>
      <c r="AB177" s="59"/>
      <c r="AC177" s="59"/>
      <c r="AD177" s="59"/>
      <c r="AE177" s="59"/>
    </row>
    <row r="178" spans="1:31" ht="12.5">
      <c r="A178" s="59"/>
      <c r="B178" s="59"/>
      <c r="C178" s="59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  <c r="AA178" s="59"/>
      <c r="AB178" s="59"/>
      <c r="AC178" s="59"/>
      <c r="AD178" s="59"/>
      <c r="AE178" s="59"/>
    </row>
    <row r="179" spans="1:31" ht="12.5">
      <c r="A179" s="59"/>
      <c r="B179" s="59"/>
      <c r="C179" s="59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  <c r="AA179" s="59"/>
      <c r="AB179" s="59"/>
      <c r="AC179" s="59"/>
      <c r="AD179" s="59"/>
      <c r="AE179" s="59"/>
    </row>
    <row r="180" spans="1:31" ht="12.5">
      <c r="A180" s="59"/>
      <c r="B180" s="59"/>
      <c r="C180" s="59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  <c r="AA180" s="59"/>
      <c r="AB180" s="59"/>
      <c r="AC180" s="59"/>
      <c r="AD180" s="59"/>
      <c r="AE180" s="59"/>
    </row>
    <row r="181" spans="1:31" ht="12.5">
      <c r="A181" s="59"/>
      <c r="B181" s="59"/>
      <c r="C181" s="59"/>
      <c r="D181" s="59"/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59"/>
      <c r="X181" s="59"/>
      <c r="Y181" s="59"/>
      <c r="Z181" s="59"/>
      <c r="AA181" s="59"/>
      <c r="AB181" s="59"/>
      <c r="AC181" s="59"/>
      <c r="AD181" s="59"/>
      <c r="AE181" s="59"/>
    </row>
    <row r="182" spans="1:31" ht="12.5">
      <c r="A182" s="59"/>
      <c r="B182" s="59"/>
      <c r="C182" s="59"/>
      <c r="D182" s="59"/>
      <c r="E182" s="59"/>
      <c r="F182" s="59"/>
      <c r="G182" s="59"/>
      <c r="H182" s="59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  <c r="Y182" s="59"/>
      <c r="Z182" s="59"/>
      <c r="AA182" s="59"/>
      <c r="AB182" s="59"/>
      <c r="AC182" s="59"/>
      <c r="AD182" s="59"/>
      <c r="AE182" s="59"/>
    </row>
    <row r="183" spans="1:31" ht="12.5">
      <c r="A183" s="59"/>
      <c r="B183" s="59"/>
      <c r="C183" s="59"/>
      <c r="D183" s="59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  <c r="Y183" s="59"/>
      <c r="Z183" s="59"/>
      <c r="AA183" s="59"/>
      <c r="AB183" s="59"/>
      <c r="AC183" s="59"/>
      <c r="AD183" s="59"/>
      <c r="AE183" s="59"/>
    </row>
    <row r="184" spans="1:31" ht="12.5">
      <c r="A184" s="59"/>
      <c r="B184" s="59"/>
      <c r="C184" s="59"/>
      <c r="D184" s="59"/>
      <c r="E184" s="59"/>
      <c r="F184" s="59"/>
      <c r="G184" s="59"/>
      <c r="H184" s="59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  <c r="Y184" s="59"/>
      <c r="Z184" s="59"/>
      <c r="AA184" s="59"/>
      <c r="AB184" s="59"/>
      <c r="AC184" s="59"/>
      <c r="AD184" s="59"/>
      <c r="AE184" s="59"/>
    </row>
    <row r="185" spans="1:31" ht="12.5">
      <c r="A185" s="59"/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Z185" s="59"/>
      <c r="AA185" s="59"/>
      <c r="AB185" s="59"/>
      <c r="AC185" s="59"/>
      <c r="AD185" s="59"/>
      <c r="AE185" s="59"/>
    </row>
    <row r="186" spans="1:31" ht="12.5">
      <c r="A186" s="59"/>
      <c r="B186" s="59"/>
      <c r="C186" s="59"/>
      <c r="D186" s="59"/>
      <c r="E186" s="59"/>
      <c r="F186" s="59"/>
      <c r="G186" s="59"/>
      <c r="H186" s="59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59"/>
      <c r="X186" s="59"/>
      <c r="Y186" s="59"/>
      <c r="Z186" s="59"/>
      <c r="AA186" s="59"/>
      <c r="AB186" s="59"/>
      <c r="AC186" s="59"/>
      <c r="AD186" s="59"/>
      <c r="AE186" s="59"/>
    </row>
    <row r="187" spans="1:31" ht="12.5">
      <c r="A187" s="59"/>
      <c r="B187" s="59"/>
      <c r="C187" s="59"/>
      <c r="D187" s="59"/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59"/>
      <c r="X187" s="59"/>
      <c r="Y187" s="59"/>
      <c r="Z187" s="59"/>
      <c r="AA187" s="59"/>
      <c r="AB187" s="59"/>
      <c r="AC187" s="59"/>
      <c r="AD187" s="59"/>
      <c r="AE187" s="59"/>
    </row>
    <row r="188" spans="1:31" ht="12.5">
      <c r="A188" s="59"/>
      <c r="B188" s="59"/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59"/>
      <c r="X188" s="59"/>
      <c r="Y188" s="59"/>
      <c r="Z188" s="59"/>
      <c r="AA188" s="59"/>
      <c r="AB188" s="59"/>
      <c r="AC188" s="59"/>
      <c r="AD188" s="59"/>
      <c r="AE188" s="59"/>
    </row>
    <row r="189" spans="1:31" ht="12.5">
      <c r="A189" s="59"/>
      <c r="B189" s="59"/>
      <c r="C189" s="59"/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  <c r="AA189" s="59"/>
      <c r="AB189" s="59"/>
      <c r="AC189" s="59"/>
      <c r="AD189" s="59"/>
      <c r="AE189" s="59"/>
    </row>
    <row r="190" spans="1:31" ht="12.5">
      <c r="A190" s="59"/>
      <c r="B190" s="59"/>
      <c r="C190" s="59"/>
      <c r="D190" s="59"/>
      <c r="E190" s="59"/>
      <c r="F190" s="59"/>
      <c r="G190" s="59"/>
      <c r="H190" s="59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59"/>
      <c r="X190" s="59"/>
      <c r="Y190" s="59"/>
      <c r="Z190" s="59"/>
      <c r="AA190" s="59"/>
      <c r="AB190" s="59"/>
      <c r="AC190" s="59"/>
      <c r="AD190" s="59"/>
      <c r="AE190" s="59"/>
    </row>
    <row r="191" spans="1:31" ht="12.5">
      <c r="A191" s="59"/>
      <c r="B191" s="59"/>
      <c r="C191" s="59"/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59"/>
      <c r="X191" s="59"/>
      <c r="Y191" s="59"/>
      <c r="Z191" s="59"/>
      <c r="AA191" s="59"/>
      <c r="AB191" s="59"/>
      <c r="AC191" s="59"/>
      <c r="AD191" s="59"/>
      <c r="AE191" s="59"/>
    </row>
    <row r="192" spans="1:31" ht="12.5">
      <c r="A192" s="59"/>
      <c r="B192" s="59"/>
      <c r="C192" s="59"/>
      <c r="D192" s="59"/>
      <c r="E192" s="59"/>
      <c r="F192" s="59"/>
      <c r="G192" s="59"/>
      <c r="H192" s="59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59"/>
      <c r="X192" s="59"/>
      <c r="Y192" s="59"/>
      <c r="Z192" s="59"/>
      <c r="AA192" s="59"/>
      <c r="AB192" s="59"/>
      <c r="AC192" s="59"/>
      <c r="AD192" s="59"/>
      <c r="AE192" s="59"/>
    </row>
    <row r="193" spans="1:31" ht="12.5">
      <c r="A193" s="59"/>
      <c r="B193" s="59"/>
      <c r="C193" s="59"/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59"/>
      <c r="X193" s="59"/>
      <c r="Y193" s="59"/>
      <c r="Z193" s="59"/>
      <c r="AA193" s="59"/>
      <c r="AB193" s="59"/>
      <c r="AC193" s="59"/>
      <c r="AD193" s="59"/>
      <c r="AE193" s="59"/>
    </row>
    <row r="194" spans="1:31" ht="12.5">
      <c r="A194" s="59"/>
      <c r="B194" s="59"/>
      <c r="C194" s="59"/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59"/>
      <c r="X194" s="59"/>
      <c r="Y194" s="59"/>
      <c r="Z194" s="59"/>
      <c r="AA194" s="59"/>
      <c r="AB194" s="59"/>
      <c r="AC194" s="59"/>
      <c r="AD194" s="59"/>
      <c r="AE194" s="59"/>
    </row>
    <row r="195" spans="1:31" ht="12.5">
      <c r="A195" s="59"/>
      <c r="B195" s="59"/>
      <c r="C195" s="59"/>
      <c r="D195" s="59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59"/>
      <c r="X195" s="59"/>
      <c r="Y195" s="59"/>
      <c r="Z195" s="59"/>
      <c r="AA195" s="59"/>
      <c r="AB195" s="59"/>
      <c r="AC195" s="59"/>
      <c r="AD195" s="59"/>
      <c r="AE195" s="59"/>
    </row>
    <row r="196" spans="1:31" ht="12.5">
      <c r="A196" s="59"/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Z196" s="59"/>
      <c r="AA196" s="59"/>
      <c r="AB196" s="59"/>
      <c r="AC196" s="59"/>
      <c r="AD196" s="59"/>
      <c r="AE196" s="59"/>
    </row>
    <row r="197" spans="1:31" ht="12.5">
      <c r="A197" s="59"/>
      <c r="B197" s="59"/>
      <c r="C197" s="59"/>
      <c r="D197" s="59"/>
      <c r="E197" s="59"/>
      <c r="F197" s="59"/>
      <c r="G197" s="59"/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59"/>
      <c r="W197" s="59"/>
      <c r="X197" s="59"/>
      <c r="Y197" s="59"/>
      <c r="Z197" s="59"/>
      <c r="AA197" s="59"/>
      <c r="AB197" s="59"/>
      <c r="AC197" s="59"/>
      <c r="AD197" s="59"/>
      <c r="AE197" s="59"/>
    </row>
    <row r="198" spans="1:31" ht="12.5">
      <c r="A198" s="59"/>
      <c r="B198" s="59"/>
      <c r="C198" s="59"/>
      <c r="D198" s="59"/>
      <c r="E198" s="59"/>
      <c r="F198" s="59"/>
      <c r="G198" s="59"/>
      <c r="H198" s="59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59"/>
      <c r="X198" s="59"/>
      <c r="Y198" s="59"/>
      <c r="Z198" s="59"/>
      <c r="AA198" s="59"/>
      <c r="AB198" s="59"/>
      <c r="AC198" s="59"/>
      <c r="AD198" s="59"/>
      <c r="AE198" s="59"/>
    </row>
    <row r="199" spans="1:31" ht="12.5">
      <c r="A199" s="59"/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59"/>
      <c r="X199" s="59"/>
      <c r="Y199" s="59"/>
      <c r="Z199" s="59"/>
      <c r="AA199" s="59"/>
      <c r="AB199" s="59"/>
      <c r="AC199" s="59"/>
      <c r="AD199" s="59"/>
      <c r="AE199" s="59"/>
    </row>
    <row r="200" spans="1:31" ht="12.5">
      <c r="A200" s="59"/>
      <c r="B200" s="59"/>
      <c r="C200" s="59"/>
      <c r="D200" s="59"/>
      <c r="E200" s="59"/>
      <c r="F200" s="59"/>
      <c r="G200" s="59"/>
      <c r="H200" s="59"/>
      <c r="I200" s="59"/>
      <c r="J200" s="59"/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59"/>
      <c r="V200" s="59"/>
      <c r="W200" s="59"/>
      <c r="X200" s="59"/>
      <c r="Y200" s="59"/>
      <c r="Z200" s="59"/>
      <c r="AA200" s="59"/>
      <c r="AB200" s="59"/>
      <c r="AC200" s="59"/>
      <c r="AD200" s="59"/>
      <c r="AE200" s="59"/>
    </row>
    <row r="201" spans="1:31" ht="12.5">
      <c r="A201" s="59"/>
      <c r="B201" s="59"/>
      <c r="C201" s="59"/>
      <c r="D201" s="59"/>
      <c r="E201" s="59"/>
      <c r="F201" s="59"/>
      <c r="G201" s="59"/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59"/>
      <c r="X201" s="59"/>
      <c r="Y201" s="59"/>
      <c r="Z201" s="59"/>
      <c r="AA201" s="59"/>
      <c r="AB201" s="59"/>
      <c r="AC201" s="59"/>
      <c r="AD201" s="59"/>
      <c r="AE201" s="59"/>
    </row>
    <row r="202" spans="1:31" ht="12.5">
      <c r="A202" s="59"/>
      <c r="B202" s="59"/>
      <c r="C202" s="59"/>
      <c r="D202" s="59"/>
      <c r="E202" s="59"/>
      <c r="F202" s="59"/>
      <c r="G202" s="59"/>
      <c r="H202" s="59"/>
      <c r="I202" s="5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59"/>
      <c r="X202" s="59"/>
      <c r="Y202" s="59"/>
      <c r="Z202" s="59"/>
      <c r="AA202" s="59"/>
      <c r="AB202" s="59"/>
      <c r="AC202" s="59"/>
      <c r="AD202" s="59"/>
      <c r="AE202" s="59"/>
    </row>
    <row r="203" spans="1:31" ht="12.5">
      <c r="A203" s="59"/>
      <c r="B203" s="59"/>
      <c r="C203" s="59"/>
      <c r="D203" s="59"/>
      <c r="E203" s="59"/>
      <c r="F203" s="59"/>
      <c r="G203" s="59"/>
      <c r="H203" s="59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59"/>
      <c r="X203" s="59"/>
      <c r="Y203" s="59"/>
      <c r="Z203" s="59"/>
      <c r="AA203" s="59"/>
      <c r="AB203" s="59"/>
      <c r="AC203" s="59"/>
      <c r="AD203" s="59"/>
      <c r="AE203" s="59"/>
    </row>
    <row r="204" spans="1:31" ht="12.5">
      <c r="A204" s="59"/>
      <c r="B204" s="59"/>
      <c r="C204" s="59"/>
      <c r="D204" s="59"/>
      <c r="E204" s="59"/>
      <c r="F204" s="59"/>
      <c r="G204" s="59"/>
      <c r="H204" s="59"/>
      <c r="I204" s="59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59"/>
      <c r="W204" s="59"/>
      <c r="X204" s="59"/>
      <c r="Y204" s="59"/>
      <c r="Z204" s="59"/>
      <c r="AA204" s="59"/>
      <c r="AB204" s="59"/>
      <c r="AC204" s="59"/>
      <c r="AD204" s="59"/>
      <c r="AE204" s="59"/>
    </row>
    <row r="205" spans="1:31" ht="12.5">
      <c r="A205" s="59"/>
      <c r="B205" s="59"/>
      <c r="C205" s="59"/>
      <c r="D205" s="59"/>
      <c r="E205" s="59"/>
      <c r="F205" s="59"/>
      <c r="G205" s="59"/>
      <c r="H205" s="59"/>
      <c r="I205" s="59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  <c r="V205" s="59"/>
      <c r="W205" s="59"/>
      <c r="X205" s="59"/>
      <c r="Y205" s="59"/>
      <c r="Z205" s="59"/>
      <c r="AA205" s="59"/>
      <c r="AB205" s="59"/>
      <c r="AC205" s="59"/>
      <c r="AD205" s="59"/>
      <c r="AE205" s="59"/>
    </row>
    <row r="206" spans="1:31" ht="12.5">
      <c r="A206" s="59"/>
      <c r="B206" s="59"/>
      <c r="C206" s="59"/>
      <c r="D206" s="59"/>
      <c r="E206" s="59"/>
      <c r="F206" s="59"/>
      <c r="G206" s="59"/>
      <c r="H206" s="59"/>
      <c r="I206" s="59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59"/>
      <c r="X206" s="59"/>
      <c r="Y206" s="59"/>
      <c r="Z206" s="59"/>
      <c r="AA206" s="59"/>
      <c r="AB206" s="59"/>
      <c r="AC206" s="59"/>
      <c r="AD206" s="59"/>
      <c r="AE206" s="59"/>
    </row>
    <row r="207" spans="1:31" ht="12.5">
      <c r="A207" s="59"/>
      <c r="B207" s="59"/>
      <c r="C207" s="59"/>
      <c r="D207" s="59"/>
      <c r="E207" s="59"/>
      <c r="F207" s="59"/>
      <c r="G207" s="59"/>
      <c r="H207" s="59"/>
      <c r="I207" s="59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59"/>
      <c r="W207" s="59"/>
      <c r="X207" s="59"/>
      <c r="Y207" s="59"/>
      <c r="Z207" s="59"/>
      <c r="AA207" s="59"/>
      <c r="AB207" s="59"/>
      <c r="AC207" s="59"/>
      <c r="AD207" s="59"/>
      <c r="AE207" s="59"/>
    </row>
    <row r="208" spans="1:31" ht="12.5">
      <c r="A208" s="59"/>
      <c r="B208" s="59"/>
      <c r="C208" s="59"/>
      <c r="D208" s="59"/>
      <c r="E208" s="59"/>
      <c r="F208" s="59"/>
      <c r="G208" s="59"/>
      <c r="H208" s="59"/>
      <c r="I208" s="59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59"/>
      <c r="V208" s="59"/>
      <c r="W208" s="59"/>
      <c r="X208" s="59"/>
      <c r="Y208" s="59"/>
      <c r="Z208" s="59"/>
      <c r="AA208" s="59"/>
      <c r="AB208" s="59"/>
      <c r="AC208" s="59"/>
      <c r="AD208" s="59"/>
      <c r="AE208" s="59"/>
    </row>
    <row r="209" spans="1:31" ht="12.5">
      <c r="A209" s="59"/>
      <c r="B209" s="59"/>
      <c r="C209" s="59"/>
      <c r="D209" s="59"/>
      <c r="E209" s="59"/>
      <c r="F209" s="59"/>
      <c r="G209" s="59"/>
      <c r="H209" s="59"/>
      <c r="I209" s="59"/>
      <c r="J209" s="59"/>
      <c r="K209" s="59"/>
      <c r="L209" s="59"/>
      <c r="M209" s="59"/>
      <c r="N209" s="59"/>
      <c r="O209" s="59"/>
      <c r="P209" s="59"/>
      <c r="Q209" s="59"/>
      <c r="R209" s="59"/>
      <c r="S209" s="59"/>
      <c r="T209" s="59"/>
      <c r="U209" s="59"/>
      <c r="V209" s="59"/>
      <c r="W209" s="59"/>
      <c r="X209" s="59"/>
      <c r="Y209" s="59"/>
      <c r="Z209" s="59"/>
      <c r="AA209" s="59"/>
      <c r="AB209" s="59"/>
      <c r="AC209" s="59"/>
      <c r="AD209" s="59"/>
      <c r="AE209" s="59"/>
    </row>
    <row r="210" spans="1:31" ht="12.5">
      <c r="A210" s="59"/>
      <c r="B210" s="59"/>
      <c r="C210" s="59"/>
      <c r="D210" s="59"/>
      <c r="E210" s="59"/>
      <c r="F210" s="59"/>
      <c r="G210" s="59"/>
      <c r="H210" s="59"/>
      <c r="I210" s="59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59"/>
      <c r="U210" s="59"/>
      <c r="V210" s="59"/>
      <c r="W210" s="59"/>
      <c r="X210" s="59"/>
      <c r="Y210" s="59"/>
      <c r="Z210" s="59"/>
      <c r="AA210" s="59"/>
      <c r="AB210" s="59"/>
      <c r="AC210" s="59"/>
      <c r="AD210" s="59"/>
      <c r="AE210" s="59"/>
    </row>
    <row r="211" spans="1:31" ht="12.5">
      <c r="A211" s="59"/>
      <c r="B211" s="59"/>
      <c r="C211" s="59"/>
      <c r="D211" s="59"/>
      <c r="E211" s="59"/>
      <c r="F211" s="59"/>
      <c r="G211" s="59"/>
      <c r="H211" s="59"/>
      <c r="I211" s="59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  <c r="V211" s="59"/>
      <c r="W211" s="59"/>
      <c r="X211" s="59"/>
      <c r="Y211" s="59"/>
      <c r="Z211" s="59"/>
      <c r="AA211" s="59"/>
      <c r="AB211" s="59"/>
      <c r="AC211" s="59"/>
      <c r="AD211" s="59"/>
      <c r="AE211" s="59"/>
    </row>
    <row r="212" spans="1:31" ht="12.5">
      <c r="A212" s="59"/>
      <c r="B212" s="59"/>
      <c r="C212" s="59"/>
      <c r="D212" s="59"/>
      <c r="E212" s="59"/>
      <c r="F212" s="59"/>
      <c r="G212" s="59"/>
      <c r="H212" s="59"/>
      <c r="I212" s="59"/>
      <c r="J212" s="59"/>
      <c r="K212" s="59"/>
      <c r="L212" s="59"/>
      <c r="M212" s="59"/>
      <c r="N212" s="59"/>
      <c r="O212" s="59"/>
      <c r="P212" s="59"/>
      <c r="Q212" s="59"/>
      <c r="R212" s="59"/>
      <c r="S212" s="59"/>
      <c r="T212" s="59"/>
      <c r="U212" s="59"/>
      <c r="V212" s="59"/>
      <c r="W212" s="59"/>
      <c r="X212" s="59"/>
      <c r="Y212" s="59"/>
      <c r="Z212" s="59"/>
      <c r="AA212" s="59"/>
      <c r="AB212" s="59"/>
      <c r="AC212" s="59"/>
      <c r="AD212" s="59"/>
      <c r="AE212" s="59"/>
    </row>
    <row r="213" spans="1:31" ht="12.5">
      <c r="A213" s="59"/>
      <c r="B213" s="59"/>
      <c r="C213" s="59"/>
      <c r="D213" s="59"/>
      <c r="E213" s="59"/>
      <c r="F213" s="59"/>
      <c r="G213" s="59"/>
      <c r="H213" s="59"/>
      <c r="I213" s="59"/>
      <c r="J213" s="59"/>
      <c r="K213" s="59"/>
      <c r="L213" s="59"/>
      <c r="M213" s="59"/>
      <c r="N213" s="59"/>
      <c r="O213" s="59"/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59"/>
      <c r="AA213" s="59"/>
      <c r="AB213" s="59"/>
      <c r="AC213" s="59"/>
      <c r="AD213" s="59"/>
      <c r="AE213" s="59"/>
    </row>
    <row r="214" spans="1:31" ht="12.5">
      <c r="A214" s="59"/>
      <c r="B214" s="59"/>
      <c r="C214" s="59"/>
      <c r="D214" s="59"/>
      <c r="E214" s="59"/>
      <c r="F214" s="59"/>
      <c r="G214" s="59"/>
      <c r="H214" s="59"/>
      <c r="I214" s="59"/>
      <c r="J214" s="59"/>
      <c r="K214" s="59"/>
      <c r="L214" s="59"/>
      <c r="M214" s="59"/>
      <c r="N214" s="59"/>
      <c r="O214" s="59"/>
      <c r="P214" s="59"/>
      <c r="Q214" s="59"/>
      <c r="R214" s="59"/>
      <c r="S214" s="59"/>
      <c r="T214" s="59"/>
      <c r="U214" s="59"/>
      <c r="V214" s="59"/>
      <c r="W214" s="59"/>
      <c r="X214" s="59"/>
      <c r="Y214" s="59"/>
      <c r="Z214" s="59"/>
      <c r="AA214" s="59"/>
      <c r="AB214" s="59"/>
      <c r="AC214" s="59"/>
      <c r="AD214" s="59"/>
      <c r="AE214" s="59"/>
    </row>
    <row r="215" spans="1:31" ht="12.5">
      <c r="A215" s="59"/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Z215" s="59"/>
      <c r="AA215" s="59"/>
      <c r="AB215" s="59"/>
      <c r="AC215" s="59"/>
      <c r="AD215" s="59"/>
      <c r="AE215" s="59"/>
    </row>
    <row r="216" spans="1:31" ht="12.5">
      <c r="A216" s="59"/>
      <c r="B216" s="59"/>
      <c r="C216" s="59"/>
      <c r="D216" s="59"/>
      <c r="E216" s="59"/>
      <c r="F216" s="59"/>
      <c r="G216" s="59"/>
      <c r="H216" s="59"/>
      <c r="I216" s="59"/>
      <c r="J216" s="59"/>
      <c r="K216" s="59"/>
      <c r="L216" s="59"/>
      <c r="M216" s="59"/>
      <c r="N216" s="59"/>
      <c r="O216" s="59"/>
      <c r="P216" s="59"/>
      <c r="Q216" s="59"/>
      <c r="R216" s="59"/>
      <c r="S216" s="59"/>
      <c r="T216" s="59"/>
      <c r="U216" s="59"/>
      <c r="V216" s="59"/>
      <c r="W216" s="59"/>
      <c r="X216" s="59"/>
      <c r="Y216" s="59"/>
      <c r="Z216" s="59"/>
      <c r="AA216" s="59"/>
      <c r="AB216" s="59"/>
      <c r="AC216" s="59"/>
      <c r="AD216" s="59"/>
      <c r="AE216" s="59"/>
    </row>
    <row r="217" spans="1:31" ht="12.5">
      <c r="A217" s="59"/>
      <c r="B217" s="59"/>
      <c r="C217" s="59"/>
      <c r="D217" s="59"/>
      <c r="E217" s="59"/>
      <c r="F217" s="59"/>
      <c r="G217" s="59"/>
      <c r="H217" s="59"/>
      <c r="I217" s="59"/>
      <c r="J217" s="59"/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59"/>
      <c r="V217" s="59"/>
      <c r="W217" s="59"/>
      <c r="X217" s="59"/>
      <c r="Y217" s="59"/>
      <c r="Z217" s="59"/>
      <c r="AA217" s="59"/>
      <c r="AB217" s="59"/>
      <c r="AC217" s="59"/>
      <c r="AD217" s="59"/>
      <c r="AE217" s="59"/>
    </row>
    <row r="218" spans="1:31" ht="12.5">
      <c r="A218" s="59"/>
      <c r="B218" s="59"/>
      <c r="C218" s="59"/>
      <c r="D218" s="59"/>
      <c r="E218" s="59"/>
      <c r="F218" s="59"/>
      <c r="G218" s="59"/>
      <c r="H218" s="59"/>
      <c r="I218" s="59"/>
      <c r="J218" s="59"/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  <c r="V218" s="59"/>
      <c r="W218" s="59"/>
      <c r="X218" s="59"/>
      <c r="Y218" s="59"/>
      <c r="Z218" s="59"/>
      <c r="AA218" s="59"/>
      <c r="AB218" s="59"/>
      <c r="AC218" s="59"/>
      <c r="AD218" s="59"/>
      <c r="AE218" s="59"/>
    </row>
    <row r="219" spans="1:31" ht="12.5">
      <c r="A219" s="59"/>
      <c r="B219" s="59"/>
      <c r="C219" s="59"/>
      <c r="D219" s="59"/>
      <c r="E219" s="59"/>
      <c r="F219" s="59"/>
      <c r="G219" s="59"/>
      <c r="H219" s="59"/>
      <c r="I219" s="59"/>
      <c r="J219" s="59"/>
      <c r="K219" s="59"/>
      <c r="L219" s="59"/>
      <c r="M219" s="59"/>
      <c r="N219" s="59"/>
      <c r="O219" s="59"/>
      <c r="P219" s="59"/>
      <c r="Q219" s="59"/>
      <c r="R219" s="59"/>
      <c r="S219" s="59"/>
      <c r="T219" s="59"/>
      <c r="U219" s="59"/>
      <c r="V219" s="59"/>
      <c r="W219" s="59"/>
      <c r="X219" s="59"/>
      <c r="Y219" s="59"/>
      <c r="Z219" s="59"/>
      <c r="AA219" s="59"/>
      <c r="AB219" s="59"/>
      <c r="AC219" s="59"/>
      <c r="AD219" s="59"/>
      <c r="AE219" s="59"/>
    </row>
    <row r="220" spans="1:31" ht="12.5">
      <c r="A220" s="59"/>
      <c r="B220" s="59"/>
      <c r="C220" s="59"/>
      <c r="D220" s="59"/>
      <c r="E220" s="59"/>
      <c r="F220" s="59"/>
      <c r="G220" s="59"/>
      <c r="H220" s="59"/>
      <c r="I220" s="59"/>
      <c r="J220" s="59"/>
      <c r="K220" s="59"/>
      <c r="L220" s="59"/>
      <c r="M220" s="59"/>
      <c r="N220" s="59"/>
      <c r="O220" s="59"/>
      <c r="P220" s="59"/>
      <c r="Q220" s="59"/>
      <c r="R220" s="59"/>
      <c r="S220" s="59"/>
      <c r="T220" s="59"/>
      <c r="U220" s="59"/>
      <c r="V220" s="59"/>
      <c r="W220" s="59"/>
      <c r="X220" s="59"/>
      <c r="Y220" s="59"/>
      <c r="Z220" s="59"/>
      <c r="AA220" s="59"/>
      <c r="AB220" s="59"/>
      <c r="AC220" s="59"/>
      <c r="AD220" s="59"/>
      <c r="AE220" s="59"/>
    </row>
    <row r="221" spans="1:31" ht="12.5">
      <c r="A221" s="59"/>
      <c r="B221" s="59"/>
      <c r="C221" s="59"/>
      <c r="D221" s="59"/>
      <c r="E221" s="59"/>
      <c r="F221" s="59"/>
      <c r="G221" s="59"/>
      <c r="H221" s="59"/>
      <c r="I221" s="59"/>
      <c r="J221" s="59"/>
      <c r="K221" s="59"/>
      <c r="L221" s="59"/>
      <c r="M221" s="59"/>
      <c r="N221" s="59"/>
      <c r="O221" s="59"/>
      <c r="P221" s="59"/>
      <c r="Q221" s="59"/>
      <c r="R221" s="59"/>
      <c r="S221" s="59"/>
      <c r="T221" s="59"/>
      <c r="U221" s="59"/>
      <c r="V221" s="59"/>
      <c r="W221" s="59"/>
      <c r="X221" s="59"/>
      <c r="Y221" s="59"/>
      <c r="Z221" s="59"/>
      <c r="AA221" s="59"/>
      <c r="AB221" s="59"/>
      <c r="AC221" s="59"/>
      <c r="AD221" s="59"/>
      <c r="AE221" s="59"/>
    </row>
    <row r="222" spans="1:31" ht="12.5">
      <c r="A222" s="59"/>
      <c r="B222" s="59"/>
      <c r="C222" s="59"/>
      <c r="D222" s="59"/>
      <c r="E222" s="59"/>
      <c r="F222" s="59"/>
      <c r="G222" s="59"/>
      <c r="H222" s="59"/>
      <c r="I222" s="59"/>
      <c r="J222" s="59"/>
      <c r="K222" s="59"/>
      <c r="L222" s="59"/>
      <c r="M222" s="59"/>
      <c r="N222" s="59"/>
      <c r="O222" s="59"/>
      <c r="P222" s="59"/>
      <c r="Q222" s="59"/>
      <c r="R222" s="59"/>
      <c r="S222" s="59"/>
      <c r="T222" s="59"/>
      <c r="U222" s="59"/>
      <c r="V222" s="59"/>
      <c r="W222" s="59"/>
      <c r="X222" s="59"/>
      <c r="Y222" s="59"/>
      <c r="Z222" s="59"/>
      <c r="AA222" s="59"/>
      <c r="AB222" s="59"/>
      <c r="AC222" s="59"/>
      <c r="AD222" s="59"/>
      <c r="AE222" s="59"/>
    </row>
    <row r="223" spans="1:31" ht="12.5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  <c r="AA223" s="59"/>
      <c r="AB223" s="59"/>
      <c r="AC223" s="59"/>
      <c r="AD223" s="59"/>
      <c r="AE223" s="59"/>
    </row>
    <row r="224" spans="1:31" ht="12.5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  <c r="AA224" s="59"/>
      <c r="AB224" s="59"/>
      <c r="AC224" s="59"/>
      <c r="AD224" s="59"/>
      <c r="AE224" s="59"/>
    </row>
    <row r="225" spans="1:31" ht="12.5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  <c r="AA225" s="59"/>
      <c r="AB225" s="59"/>
      <c r="AC225" s="59"/>
      <c r="AD225" s="59"/>
      <c r="AE225" s="59"/>
    </row>
    <row r="226" spans="1:31" ht="12.5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  <c r="AA226" s="59"/>
      <c r="AB226" s="59"/>
      <c r="AC226" s="59"/>
      <c r="AD226" s="59"/>
      <c r="AE226" s="59"/>
    </row>
    <row r="227" spans="1:31" ht="12.5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  <c r="AA227" s="59"/>
      <c r="AB227" s="59"/>
      <c r="AC227" s="59"/>
      <c r="AD227" s="59"/>
      <c r="AE227" s="59"/>
    </row>
    <row r="228" spans="1:31" ht="12.5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  <c r="AA228" s="59"/>
      <c r="AB228" s="59"/>
      <c r="AC228" s="59"/>
      <c r="AD228" s="59"/>
      <c r="AE228" s="59"/>
    </row>
    <row r="229" spans="1:31" ht="12.5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  <c r="AA229" s="59"/>
      <c r="AB229" s="59"/>
      <c r="AC229" s="59"/>
      <c r="AD229" s="59"/>
      <c r="AE229" s="59"/>
    </row>
    <row r="230" spans="1:31" ht="12.5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  <c r="AA230" s="59"/>
      <c r="AB230" s="59"/>
      <c r="AC230" s="59"/>
      <c r="AD230" s="59"/>
      <c r="AE230" s="59"/>
    </row>
    <row r="231" spans="1:31" ht="12.5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  <c r="AA231" s="59"/>
      <c r="AB231" s="59"/>
      <c r="AC231" s="59"/>
      <c r="AD231" s="59"/>
      <c r="AE231" s="59"/>
    </row>
    <row r="232" spans="1:31" ht="12.5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  <c r="AA232" s="59"/>
      <c r="AB232" s="59"/>
      <c r="AC232" s="59"/>
      <c r="AD232" s="59"/>
      <c r="AE232" s="59"/>
    </row>
    <row r="233" spans="1:31" ht="12.5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  <c r="AA233" s="59"/>
      <c r="AB233" s="59"/>
      <c r="AC233" s="59"/>
      <c r="AD233" s="59"/>
      <c r="AE233" s="59"/>
    </row>
    <row r="234" spans="1:31" ht="12.5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  <c r="AA234" s="59"/>
      <c r="AB234" s="59"/>
      <c r="AC234" s="59"/>
      <c r="AD234" s="59"/>
      <c r="AE234" s="59"/>
    </row>
    <row r="235" spans="1:31" ht="12.5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  <c r="AA235" s="59"/>
      <c r="AB235" s="59"/>
      <c r="AC235" s="59"/>
      <c r="AD235" s="59"/>
      <c r="AE235" s="59"/>
    </row>
    <row r="236" spans="1:31" ht="12.5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  <c r="AA236" s="59"/>
      <c r="AB236" s="59"/>
      <c r="AC236" s="59"/>
      <c r="AD236" s="59"/>
      <c r="AE236" s="59"/>
    </row>
    <row r="237" spans="1:31" ht="12.5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  <c r="AA237" s="59"/>
      <c r="AB237" s="59"/>
      <c r="AC237" s="59"/>
      <c r="AD237" s="59"/>
      <c r="AE237" s="59"/>
    </row>
    <row r="238" spans="1:31" ht="12.5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  <c r="AA238" s="59"/>
      <c r="AB238" s="59"/>
      <c r="AC238" s="59"/>
      <c r="AD238" s="59"/>
      <c r="AE238" s="59"/>
    </row>
    <row r="239" spans="1:31" ht="12.5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  <c r="AA239" s="59"/>
      <c r="AB239" s="59"/>
      <c r="AC239" s="59"/>
      <c r="AD239" s="59"/>
      <c r="AE239" s="59"/>
    </row>
    <row r="240" spans="1:31" ht="12.5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  <c r="AA240" s="59"/>
      <c r="AB240" s="59"/>
      <c r="AC240" s="59"/>
      <c r="AD240" s="59"/>
      <c r="AE240" s="59"/>
    </row>
    <row r="241" spans="1:31" ht="12.5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  <c r="AA241" s="59"/>
      <c r="AB241" s="59"/>
      <c r="AC241" s="59"/>
      <c r="AD241" s="59"/>
      <c r="AE241" s="59"/>
    </row>
    <row r="242" spans="1:31" ht="12.5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  <c r="AA242" s="59"/>
      <c r="AB242" s="59"/>
      <c r="AC242" s="59"/>
      <c r="AD242" s="59"/>
      <c r="AE242" s="59"/>
    </row>
    <row r="243" spans="1:31" ht="12.5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  <c r="AA243" s="59"/>
      <c r="AB243" s="59"/>
      <c r="AC243" s="59"/>
      <c r="AD243" s="59"/>
      <c r="AE243" s="59"/>
    </row>
    <row r="244" spans="1:31" ht="12.5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  <c r="AA244" s="59"/>
      <c r="AB244" s="59"/>
      <c r="AC244" s="59"/>
      <c r="AD244" s="59"/>
      <c r="AE244" s="59"/>
    </row>
    <row r="245" spans="1:31" ht="12.5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  <c r="AA245" s="59"/>
      <c r="AB245" s="59"/>
      <c r="AC245" s="59"/>
      <c r="AD245" s="59"/>
      <c r="AE245" s="59"/>
    </row>
    <row r="246" spans="1:31" ht="12.5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  <c r="AA246" s="59"/>
      <c r="AB246" s="59"/>
      <c r="AC246" s="59"/>
      <c r="AD246" s="59"/>
      <c r="AE246" s="59"/>
    </row>
    <row r="247" spans="1:31" ht="12.5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  <c r="AA247" s="59"/>
      <c r="AB247" s="59"/>
      <c r="AC247" s="59"/>
      <c r="AD247" s="59"/>
      <c r="AE247" s="59"/>
    </row>
    <row r="248" spans="1:31" ht="12.5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  <c r="AA248" s="59"/>
      <c r="AB248" s="59"/>
      <c r="AC248" s="59"/>
      <c r="AD248" s="59"/>
      <c r="AE248" s="59"/>
    </row>
    <row r="249" spans="1:31" ht="12.5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  <c r="AA249" s="59"/>
      <c r="AB249" s="59"/>
      <c r="AC249" s="59"/>
      <c r="AD249" s="59"/>
      <c r="AE249" s="59"/>
    </row>
    <row r="250" spans="1:31" ht="12.5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  <c r="AA250" s="59"/>
      <c r="AB250" s="59"/>
      <c r="AC250" s="59"/>
      <c r="AD250" s="59"/>
      <c r="AE250" s="59"/>
    </row>
    <row r="251" spans="1:31" ht="12.5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  <c r="AA251" s="59"/>
      <c r="AB251" s="59"/>
      <c r="AC251" s="59"/>
      <c r="AD251" s="59"/>
      <c r="AE251" s="59"/>
    </row>
    <row r="252" spans="1:31" ht="12.5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  <c r="AA252" s="59"/>
      <c r="AB252" s="59"/>
      <c r="AC252" s="59"/>
      <c r="AD252" s="59"/>
      <c r="AE252" s="59"/>
    </row>
    <row r="253" spans="1:31" ht="12.5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  <c r="AA253" s="59"/>
      <c r="AB253" s="59"/>
      <c r="AC253" s="59"/>
      <c r="AD253" s="59"/>
      <c r="AE253" s="59"/>
    </row>
    <row r="254" spans="1:31" ht="12.5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  <c r="AA254" s="59"/>
      <c r="AB254" s="59"/>
      <c r="AC254" s="59"/>
      <c r="AD254" s="59"/>
      <c r="AE254" s="59"/>
    </row>
    <row r="255" spans="1:31" ht="12.5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  <c r="AA255" s="59"/>
      <c r="AB255" s="59"/>
      <c r="AC255" s="59"/>
      <c r="AD255" s="59"/>
      <c r="AE255" s="59"/>
    </row>
    <row r="256" spans="1:31" ht="12.5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  <c r="AA256" s="59"/>
      <c r="AB256" s="59"/>
      <c r="AC256" s="59"/>
      <c r="AD256" s="59"/>
      <c r="AE256" s="59"/>
    </row>
    <row r="257" spans="1:31" ht="12.5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  <c r="AA257" s="59"/>
      <c r="AB257" s="59"/>
      <c r="AC257" s="59"/>
      <c r="AD257" s="59"/>
      <c r="AE257" s="59"/>
    </row>
    <row r="258" spans="1:31" ht="12.5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  <c r="AA258" s="59"/>
      <c r="AB258" s="59"/>
      <c r="AC258" s="59"/>
      <c r="AD258" s="59"/>
      <c r="AE258" s="59"/>
    </row>
    <row r="259" spans="1:31" ht="12.5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  <c r="AA259" s="59"/>
      <c r="AB259" s="59"/>
      <c r="AC259" s="59"/>
      <c r="AD259" s="59"/>
      <c r="AE259" s="59"/>
    </row>
    <row r="260" spans="1:31" ht="12.5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  <c r="AA260" s="59"/>
      <c r="AB260" s="59"/>
      <c r="AC260" s="59"/>
      <c r="AD260" s="59"/>
      <c r="AE260" s="59"/>
    </row>
    <row r="261" spans="1:31" ht="12.5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  <c r="AA261" s="59"/>
      <c r="AB261" s="59"/>
      <c r="AC261" s="59"/>
      <c r="AD261" s="59"/>
      <c r="AE261" s="59"/>
    </row>
    <row r="262" spans="1:31" ht="12.5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  <c r="AA262" s="59"/>
      <c r="AB262" s="59"/>
      <c r="AC262" s="59"/>
      <c r="AD262" s="59"/>
      <c r="AE262" s="59"/>
    </row>
    <row r="263" spans="1:31" ht="12.5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  <c r="AA263" s="59"/>
      <c r="AB263" s="59"/>
      <c r="AC263" s="59"/>
      <c r="AD263" s="59"/>
      <c r="AE263" s="59"/>
    </row>
    <row r="264" spans="1:31" ht="12.5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  <c r="AA264" s="59"/>
      <c r="AB264" s="59"/>
      <c r="AC264" s="59"/>
      <c r="AD264" s="59"/>
      <c r="AE264" s="59"/>
    </row>
    <row r="265" spans="1:31" ht="12.5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  <c r="AA265" s="59"/>
      <c r="AB265" s="59"/>
      <c r="AC265" s="59"/>
      <c r="AD265" s="59"/>
      <c r="AE265" s="59"/>
    </row>
    <row r="266" spans="1:31" ht="12.5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  <c r="AA266" s="59"/>
      <c r="AB266" s="59"/>
      <c r="AC266" s="59"/>
      <c r="AD266" s="59"/>
      <c r="AE266" s="59"/>
    </row>
    <row r="267" spans="1:31" ht="12.5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  <c r="AA267" s="59"/>
      <c r="AB267" s="59"/>
      <c r="AC267" s="59"/>
      <c r="AD267" s="59"/>
      <c r="AE267" s="59"/>
    </row>
    <row r="268" spans="1:31" ht="12.5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  <c r="AA268" s="59"/>
      <c r="AB268" s="59"/>
      <c r="AC268" s="59"/>
      <c r="AD268" s="59"/>
      <c r="AE268" s="59"/>
    </row>
    <row r="269" spans="1:31" ht="12.5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  <c r="AA269" s="59"/>
      <c r="AB269" s="59"/>
      <c r="AC269" s="59"/>
      <c r="AD269" s="59"/>
      <c r="AE269" s="59"/>
    </row>
    <row r="270" spans="1:31" ht="12.5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  <c r="AA270" s="59"/>
      <c r="AB270" s="59"/>
      <c r="AC270" s="59"/>
      <c r="AD270" s="59"/>
      <c r="AE270" s="59"/>
    </row>
    <row r="271" spans="1:31" ht="12.5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  <c r="AA271" s="59"/>
      <c r="AB271" s="59"/>
      <c r="AC271" s="59"/>
      <c r="AD271" s="59"/>
      <c r="AE271" s="59"/>
    </row>
    <row r="272" spans="1:31" ht="12.5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  <c r="AA272" s="59"/>
      <c r="AB272" s="59"/>
      <c r="AC272" s="59"/>
      <c r="AD272" s="59"/>
      <c r="AE272" s="59"/>
    </row>
    <row r="273" spans="1:31" ht="12.5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  <c r="AA273" s="59"/>
      <c r="AB273" s="59"/>
      <c r="AC273" s="59"/>
      <c r="AD273" s="59"/>
      <c r="AE273" s="59"/>
    </row>
    <row r="274" spans="1:31" ht="12.5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  <c r="AA274" s="59"/>
      <c r="AB274" s="59"/>
      <c r="AC274" s="59"/>
      <c r="AD274" s="59"/>
      <c r="AE274" s="59"/>
    </row>
    <row r="275" spans="1:31" ht="12.5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  <c r="AA275" s="59"/>
      <c r="AB275" s="59"/>
      <c r="AC275" s="59"/>
      <c r="AD275" s="59"/>
      <c r="AE275" s="59"/>
    </row>
    <row r="276" spans="1:31" ht="12.5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  <c r="AA276" s="59"/>
      <c r="AB276" s="59"/>
      <c r="AC276" s="59"/>
      <c r="AD276" s="59"/>
      <c r="AE276" s="59"/>
    </row>
    <row r="277" spans="1:31" ht="12.5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  <c r="AA277" s="59"/>
      <c r="AB277" s="59"/>
      <c r="AC277" s="59"/>
      <c r="AD277" s="59"/>
      <c r="AE277" s="59"/>
    </row>
    <row r="278" spans="1:31" ht="12.5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  <c r="AA278" s="59"/>
      <c r="AB278" s="59"/>
      <c r="AC278" s="59"/>
      <c r="AD278" s="59"/>
      <c r="AE278" s="59"/>
    </row>
    <row r="279" spans="1:31" ht="12.5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  <c r="AA279" s="59"/>
      <c r="AB279" s="59"/>
      <c r="AC279" s="59"/>
      <c r="AD279" s="59"/>
      <c r="AE279" s="59"/>
    </row>
    <row r="280" spans="1:31" ht="12.5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  <c r="AA280" s="59"/>
      <c r="AB280" s="59"/>
      <c r="AC280" s="59"/>
      <c r="AD280" s="59"/>
      <c r="AE280" s="59"/>
    </row>
    <row r="281" spans="1:31" ht="12.5">
      <c r="A281" s="59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  <c r="AA281" s="59"/>
      <c r="AB281" s="59"/>
      <c r="AC281" s="59"/>
      <c r="AD281" s="59"/>
      <c r="AE281" s="59"/>
    </row>
    <row r="282" spans="1:31" ht="12.5">
      <c r="A282" s="59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  <c r="AA282" s="59"/>
      <c r="AB282" s="59"/>
      <c r="AC282" s="59"/>
      <c r="AD282" s="59"/>
      <c r="AE282" s="59"/>
    </row>
    <row r="283" spans="1:31" ht="12.5">
      <c r="A283" s="59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  <c r="AA283" s="59"/>
      <c r="AB283" s="59"/>
      <c r="AC283" s="59"/>
      <c r="AD283" s="59"/>
      <c r="AE283" s="59"/>
    </row>
    <row r="284" spans="1:31" ht="12.5">
      <c r="A284" s="59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  <c r="AA284" s="59"/>
      <c r="AB284" s="59"/>
      <c r="AC284" s="59"/>
      <c r="AD284" s="59"/>
      <c r="AE284" s="59"/>
    </row>
    <row r="285" spans="1:31" ht="12.5">
      <c r="A285" s="59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  <c r="AA285" s="59"/>
      <c r="AB285" s="59"/>
      <c r="AC285" s="59"/>
      <c r="AD285" s="59"/>
      <c r="AE285" s="59"/>
    </row>
    <row r="286" spans="1:31" ht="12.5">
      <c r="A286" s="59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  <c r="AA286" s="59"/>
      <c r="AB286" s="59"/>
      <c r="AC286" s="59"/>
      <c r="AD286" s="59"/>
      <c r="AE286" s="59"/>
    </row>
    <row r="287" spans="1:31" ht="12.5">
      <c r="A287" s="59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  <c r="AA287" s="59"/>
      <c r="AB287" s="59"/>
      <c r="AC287" s="59"/>
      <c r="AD287" s="59"/>
      <c r="AE287" s="59"/>
    </row>
    <row r="288" spans="1:31" ht="12.5">
      <c r="A288" s="59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  <c r="AA288" s="59"/>
      <c r="AB288" s="59"/>
      <c r="AC288" s="59"/>
      <c r="AD288" s="59"/>
      <c r="AE288" s="59"/>
    </row>
    <row r="289" spans="1:31" ht="12.5">
      <c r="A289" s="59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  <c r="AA289" s="59"/>
      <c r="AB289" s="59"/>
      <c r="AC289" s="59"/>
      <c r="AD289" s="59"/>
      <c r="AE289" s="59"/>
    </row>
    <row r="290" spans="1:31" ht="12.5">
      <c r="A290" s="59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  <c r="AA290" s="59"/>
      <c r="AB290" s="59"/>
      <c r="AC290" s="59"/>
      <c r="AD290" s="59"/>
      <c r="AE290" s="59"/>
    </row>
    <row r="291" spans="1:31" ht="12.5">
      <c r="A291" s="59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  <c r="AA291" s="59"/>
      <c r="AB291" s="59"/>
      <c r="AC291" s="59"/>
      <c r="AD291" s="59"/>
      <c r="AE291" s="59"/>
    </row>
    <row r="292" spans="1:31" ht="12.5">
      <c r="A292" s="59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  <c r="AA292" s="59"/>
      <c r="AB292" s="59"/>
      <c r="AC292" s="59"/>
      <c r="AD292" s="59"/>
      <c r="AE292" s="59"/>
    </row>
    <row r="293" spans="1:31" ht="12.5">
      <c r="A293" s="59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  <c r="AA293" s="59"/>
      <c r="AB293" s="59"/>
      <c r="AC293" s="59"/>
      <c r="AD293" s="59"/>
      <c r="AE293" s="59"/>
    </row>
    <row r="294" spans="1:31" ht="12.5">
      <c r="A294" s="59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  <c r="AA294" s="59"/>
      <c r="AB294" s="59"/>
      <c r="AC294" s="59"/>
      <c r="AD294" s="59"/>
      <c r="AE294" s="59"/>
    </row>
    <row r="295" spans="1:31" ht="12.5">
      <c r="A295" s="59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  <c r="AA295" s="59"/>
      <c r="AB295" s="59"/>
      <c r="AC295" s="59"/>
      <c r="AD295" s="59"/>
      <c r="AE295" s="59"/>
    </row>
    <row r="296" spans="1:31" ht="12.5">
      <c r="A296" s="59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  <c r="AA296" s="59"/>
      <c r="AB296" s="59"/>
      <c r="AC296" s="59"/>
      <c r="AD296" s="59"/>
      <c r="AE296" s="59"/>
    </row>
    <row r="297" spans="1:31" ht="12.5">
      <c r="A297" s="59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  <c r="AA297" s="59"/>
      <c r="AB297" s="59"/>
      <c r="AC297" s="59"/>
      <c r="AD297" s="59"/>
      <c r="AE297" s="59"/>
    </row>
    <row r="298" spans="1:31" ht="12.5">
      <c r="A298" s="59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  <c r="AA298" s="59"/>
      <c r="AB298" s="59"/>
      <c r="AC298" s="59"/>
      <c r="AD298" s="59"/>
      <c r="AE298" s="59"/>
    </row>
    <row r="299" spans="1:31" ht="12.5">
      <c r="A299" s="59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  <c r="AA299" s="59"/>
      <c r="AB299" s="59"/>
      <c r="AC299" s="59"/>
      <c r="AD299" s="59"/>
      <c r="AE299" s="59"/>
    </row>
    <row r="300" spans="1:31" ht="12.5">
      <c r="A300" s="59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  <c r="AA300" s="59"/>
      <c r="AB300" s="59"/>
      <c r="AC300" s="59"/>
      <c r="AD300" s="59"/>
      <c r="AE300" s="59"/>
    </row>
    <row r="301" spans="1:31" ht="12.5">
      <c r="A301" s="59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  <c r="AA301" s="59"/>
      <c r="AB301" s="59"/>
      <c r="AC301" s="59"/>
      <c r="AD301" s="59"/>
      <c r="AE301" s="59"/>
    </row>
    <row r="302" spans="1:31" ht="12.5">
      <c r="A302" s="59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  <c r="AA302" s="59"/>
      <c r="AB302" s="59"/>
      <c r="AC302" s="59"/>
      <c r="AD302" s="59"/>
      <c r="AE302" s="59"/>
    </row>
    <row r="303" spans="1:31" ht="12.5">
      <c r="A303" s="59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  <c r="AA303" s="59"/>
      <c r="AB303" s="59"/>
      <c r="AC303" s="59"/>
      <c r="AD303" s="59"/>
      <c r="AE303" s="59"/>
    </row>
    <row r="304" spans="1:31" ht="12.5">
      <c r="A304" s="59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  <c r="AA304" s="59"/>
      <c r="AB304" s="59"/>
      <c r="AC304" s="59"/>
      <c r="AD304" s="59"/>
      <c r="AE304" s="59"/>
    </row>
    <row r="305" spans="1:31" ht="12.5">
      <c r="A305" s="59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  <c r="AA305" s="59"/>
      <c r="AB305" s="59"/>
      <c r="AC305" s="59"/>
      <c r="AD305" s="59"/>
      <c r="AE305" s="59"/>
    </row>
    <row r="306" spans="1:31" ht="12.5">
      <c r="A306" s="59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  <c r="AA306" s="59"/>
      <c r="AB306" s="59"/>
      <c r="AC306" s="59"/>
      <c r="AD306" s="59"/>
      <c r="AE306" s="59"/>
    </row>
    <row r="307" spans="1:31" ht="12.5">
      <c r="A307" s="59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  <c r="AA307" s="59"/>
      <c r="AB307" s="59"/>
      <c r="AC307" s="59"/>
      <c r="AD307" s="59"/>
      <c r="AE307" s="59"/>
    </row>
    <row r="308" spans="1:31" ht="12.5">
      <c r="A308" s="59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  <c r="AA308" s="59"/>
      <c r="AB308" s="59"/>
      <c r="AC308" s="59"/>
      <c r="AD308" s="59"/>
      <c r="AE308" s="59"/>
    </row>
    <row r="309" spans="1:31" ht="12.5">
      <c r="A309" s="59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  <c r="AA309" s="59"/>
      <c r="AB309" s="59"/>
      <c r="AC309" s="59"/>
      <c r="AD309" s="59"/>
      <c r="AE309" s="59"/>
    </row>
    <row r="310" spans="1:31" ht="12.5">
      <c r="A310" s="59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  <c r="AA310" s="59"/>
      <c r="AB310" s="59"/>
      <c r="AC310" s="59"/>
      <c r="AD310" s="59"/>
      <c r="AE310" s="59"/>
    </row>
    <row r="311" spans="1:31" ht="12.5">
      <c r="A311" s="59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  <c r="AA311" s="59"/>
      <c r="AB311" s="59"/>
      <c r="AC311" s="59"/>
      <c r="AD311" s="59"/>
      <c r="AE311" s="59"/>
    </row>
    <row r="312" spans="1:31" ht="12.5">
      <c r="A312" s="59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  <c r="AA312" s="59"/>
      <c r="AB312" s="59"/>
      <c r="AC312" s="59"/>
      <c r="AD312" s="59"/>
      <c r="AE312" s="59"/>
    </row>
    <row r="313" spans="1:31" ht="12.5">
      <c r="A313" s="59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  <c r="AA313" s="59"/>
      <c r="AB313" s="59"/>
      <c r="AC313" s="59"/>
      <c r="AD313" s="59"/>
      <c r="AE313" s="59"/>
    </row>
    <row r="314" spans="1:31" ht="12.5">
      <c r="A314" s="59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  <c r="AA314" s="59"/>
      <c r="AB314" s="59"/>
      <c r="AC314" s="59"/>
      <c r="AD314" s="59"/>
      <c r="AE314" s="59"/>
    </row>
    <row r="315" spans="1:31" ht="12.5">
      <c r="A315" s="59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  <c r="AA315" s="59"/>
      <c r="AB315" s="59"/>
      <c r="AC315" s="59"/>
      <c r="AD315" s="59"/>
      <c r="AE315" s="59"/>
    </row>
    <row r="316" spans="1:31" ht="12.5">
      <c r="A316" s="59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  <c r="AA316" s="59"/>
      <c r="AB316" s="59"/>
      <c r="AC316" s="59"/>
      <c r="AD316" s="59"/>
      <c r="AE316" s="59"/>
    </row>
    <row r="317" spans="1:31" ht="12.5">
      <c r="A317" s="59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  <c r="AA317" s="59"/>
      <c r="AB317" s="59"/>
      <c r="AC317" s="59"/>
      <c r="AD317" s="59"/>
      <c r="AE317" s="59"/>
    </row>
    <row r="318" spans="1:31" ht="12.5">
      <c r="A318" s="59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  <c r="AA318" s="59"/>
      <c r="AB318" s="59"/>
      <c r="AC318" s="59"/>
      <c r="AD318" s="59"/>
      <c r="AE318" s="59"/>
    </row>
    <row r="319" spans="1:31" ht="12.5">
      <c r="A319" s="59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  <c r="AA319" s="59"/>
      <c r="AB319" s="59"/>
      <c r="AC319" s="59"/>
      <c r="AD319" s="59"/>
      <c r="AE319" s="59"/>
    </row>
    <row r="320" spans="1:31" ht="12.5">
      <c r="A320" s="59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  <c r="AA320" s="59"/>
      <c r="AB320" s="59"/>
      <c r="AC320" s="59"/>
      <c r="AD320" s="59"/>
      <c r="AE320" s="59"/>
    </row>
    <row r="321" spans="1:31" ht="12.5">
      <c r="A321" s="59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  <c r="AA321" s="59"/>
      <c r="AB321" s="59"/>
      <c r="AC321" s="59"/>
      <c r="AD321" s="59"/>
      <c r="AE321" s="59"/>
    </row>
    <row r="322" spans="1:31" ht="12.5">
      <c r="A322" s="59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  <c r="AA322" s="59"/>
      <c r="AB322" s="59"/>
      <c r="AC322" s="59"/>
      <c r="AD322" s="59"/>
      <c r="AE322" s="59"/>
    </row>
    <row r="323" spans="1:31" ht="12.5">
      <c r="A323" s="59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  <c r="AA323" s="59"/>
      <c r="AB323" s="59"/>
      <c r="AC323" s="59"/>
      <c r="AD323" s="59"/>
      <c r="AE323" s="59"/>
    </row>
    <row r="324" spans="1:31" ht="12.5">
      <c r="A324" s="59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  <c r="AA324" s="59"/>
      <c r="AB324" s="59"/>
      <c r="AC324" s="59"/>
      <c r="AD324" s="59"/>
      <c r="AE324" s="59"/>
    </row>
    <row r="325" spans="1:31" ht="12.5">
      <c r="A325" s="59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  <c r="AA325" s="59"/>
      <c r="AB325" s="59"/>
      <c r="AC325" s="59"/>
      <c r="AD325" s="59"/>
      <c r="AE325" s="59"/>
    </row>
    <row r="326" spans="1:31" ht="12.5">
      <c r="A326" s="59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  <c r="AA326" s="59"/>
      <c r="AB326" s="59"/>
      <c r="AC326" s="59"/>
      <c r="AD326" s="59"/>
      <c r="AE326" s="59"/>
    </row>
    <row r="327" spans="1:31" ht="12.5">
      <c r="A327" s="59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  <c r="AA327" s="59"/>
      <c r="AB327" s="59"/>
      <c r="AC327" s="59"/>
      <c r="AD327" s="59"/>
      <c r="AE327" s="59"/>
    </row>
    <row r="328" spans="1:31" ht="12.5">
      <c r="A328" s="59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  <c r="AA328" s="59"/>
      <c r="AB328" s="59"/>
      <c r="AC328" s="59"/>
      <c r="AD328" s="59"/>
      <c r="AE328" s="59"/>
    </row>
    <row r="329" spans="1:31" ht="12.5">
      <c r="A329" s="59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  <c r="AA329" s="59"/>
      <c r="AB329" s="59"/>
      <c r="AC329" s="59"/>
      <c r="AD329" s="59"/>
      <c r="AE329" s="59"/>
    </row>
    <row r="330" spans="1:31" ht="12.5">
      <c r="A330" s="59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  <c r="AA330" s="59"/>
      <c r="AB330" s="59"/>
      <c r="AC330" s="59"/>
      <c r="AD330" s="59"/>
      <c r="AE330" s="59"/>
    </row>
    <row r="331" spans="1:31" ht="12.5">
      <c r="A331" s="59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  <c r="AA331" s="59"/>
      <c r="AB331" s="59"/>
      <c r="AC331" s="59"/>
      <c r="AD331" s="59"/>
      <c r="AE331" s="59"/>
    </row>
    <row r="332" spans="1:31" ht="12.5">
      <c r="A332" s="59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  <c r="AA332" s="59"/>
      <c r="AB332" s="59"/>
      <c r="AC332" s="59"/>
      <c r="AD332" s="59"/>
      <c r="AE332" s="59"/>
    </row>
    <row r="333" spans="1:31" ht="12.5">
      <c r="A333" s="59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  <c r="AA333" s="59"/>
      <c r="AB333" s="59"/>
      <c r="AC333" s="59"/>
      <c r="AD333" s="59"/>
      <c r="AE333" s="59"/>
    </row>
    <row r="334" spans="1:31" ht="12.5">
      <c r="A334" s="59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  <c r="AA334" s="59"/>
      <c r="AB334" s="59"/>
      <c r="AC334" s="59"/>
      <c r="AD334" s="59"/>
      <c r="AE334" s="59"/>
    </row>
    <row r="335" spans="1:31" ht="12.5">
      <c r="A335" s="59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  <c r="AA335" s="59"/>
      <c r="AB335" s="59"/>
      <c r="AC335" s="59"/>
      <c r="AD335" s="59"/>
      <c r="AE335" s="59"/>
    </row>
    <row r="336" spans="1:31" ht="12.5">
      <c r="A336" s="59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  <c r="AA336" s="59"/>
      <c r="AB336" s="59"/>
      <c r="AC336" s="59"/>
      <c r="AD336" s="59"/>
      <c r="AE336" s="59"/>
    </row>
    <row r="337" spans="1:31" ht="12.5">
      <c r="A337" s="59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  <c r="AA337" s="59"/>
      <c r="AB337" s="59"/>
      <c r="AC337" s="59"/>
      <c r="AD337" s="59"/>
      <c r="AE337" s="59"/>
    </row>
    <row r="338" spans="1:31" ht="12.5">
      <c r="A338" s="59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  <c r="AA338" s="59"/>
      <c r="AB338" s="59"/>
      <c r="AC338" s="59"/>
      <c r="AD338" s="59"/>
      <c r="AE338" s="59"/>
    </row>
    <row r="339" spans="1:31" ht="12.5">
      <c r="A339" s="59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  <c r="AA339" s="59"/>
      <c r="AB339" s="59"/>
      <c r="AC339" s="59"/>
      <c r="AD339" s="59"/>
      <c r="AE339" s="59"/>
    </row>
    <row r="340" spans="1:31" ht="12.5">
      <c r="A340" s="59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  <c r="AA340" s="59"/>
      <c r="AB340" s="59"/>
      <c r="AC340" s="59"/>
      <c r="AD340" s="59"/>
      <c r="AE340" s="59"/>
    </row>
    <row r="341" spans="1:31" ht="12.5">
      <c r="A341" s="59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  <c r="AA341" s="59"/>
      <c r="AB341" s="59"/>
      <c r="AC341" s="59"/>
      <c r="AD341" s="59"/>
      <c r="AE341" s="59"/>
    </row>
    <row r="342" spans="1:31" ht="12.5">
      <c r="A342" s="59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  <c r="AA342" s="59"/>
      <c r="AB342" s="59"/>
      <c r="AC342" s="59"/>
      <c r="AD342" s="59"/>
      <c r="AE342" s="59"/>
    </row>
    <row r="343" spans="1:31" ht="12.5">
      <c r="A343" s="59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  <c r="AA343" s="59"/>
      <c r="AB343" s="59"/>
      <c r="AC343" s="59"/>
      <c r="AD343" s="59"/>
      <c r="AE343" s="59"/>
    </row>
    <row r="344" spans="1:31" ht="12.5">
      <c r="A344" s="59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  <c r="AA344" s="59"/>
      <c r="AB344" s="59"/>
      <c r="AC344" s="59"/>
      <c r="AD344" s="59"/>
      <c r="AE344" s="59"/>
    </row>
    <row r="345" spans="1:31" ht="12.5">
      <c r="A345" s="59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  <c r="AA345" s="59"/>
      <c r="AB345" s="59"/>
      <c r="AC345" s="59"/>
      <c r="AD345" s="59"/>
      <c r="AE345" s="59"/>
    </row>
    <row r="346" spans="1:31" ht="12.5">
      <c r="A346" s="59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  <c r="AA346" s="59"/>
      <c r="AB346" s="59"/>
      <c r="AC346" s="59"/>
      <c r="AD346" s="59"/>
      <c r="AE346" s="59"/>
    </row>
    <row r="347" spans="1:31" ht="12.5">
      <c r="A347" s="59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  <c r="AA347" s="59"/>
      <c r="AB347" s="59"/>
      <c r="AC347" s="59"/>
      <c r="AD347" s="59"/>
      <c r="AE347" s="59"/>
    </row>
    <row r="348" spans="1:31" ht="12.5">
      <c r="A348" s="59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  <c r="AA348" s="59"/>
      <c r="AB348" s="59"/>
      <c r="AC348" s="59"/>
      <c r="AD348" s="59"/>
      <c r="AE348" s="59"/>
    </row>
    <row r="349" spans="1:31" ht="12.5">
      <c r="A349" s="59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  <c r="AA349" s="59"/>
      <c r="AB349" s="59"/>
      <c r="AC349" s="59"/>
      <c r="AD349" s="59"/>
      <c r="AE349" s="59"/>
    </row>
    <row r="350" spans="1:31" ht="12.5">
      <c r="A350" s="59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  <c r="AA350" s="59"/>
      <c r="AB350" s="59"/>
      <c r="AC350" s="59"/>
      <c r="AD350" s="59"/>
      <c r="AE350" s="59"/>
    </row>
    <row r="351" spans="1:31" ht="12.5">
      <c r="A351" s="59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  <c r="AA351" s="59"/>
      <c r="AB351" s="59"/>
      <c r="AC351" s="59"/>
      <c r="AD351" s="59"/>
      <c r="AE351" s="59"/>
    </row>
    <row r="352" spans="1:31" ht="12.5">
      <c r="A352" s="59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  <c r="AA352" s="59"/>
      <c r="AB352" s="59"/>
      <c r="AC352" s="59"/>
      <c r="AD352" s="59"/>
      <c r="AE352" s="59"/>
    </row>
    <row r="353" spans="1:31" ht="12.5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  <c r="AA353" s="59"/>
      <c r="AB353" s="59"/>
      <c r="AC353" s="59"/>
      <c r="AD353" s="59"/>
      <c r="AE353" s="59"/>
    </row>
    <row r="354" spans="1:31" ht="12.5">
      <c r="A354" s="59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  <c r="AA354" s="59"/>
      <c r="AB354" s="59"/>
      <c r="AC354" s="59"/>
      <c r="AD354" s="59"/>
      <c r="AE354" s="59"/>
    </row>
    <row r="355" spans="1:31" ht="12.5">
      <c r="A355" s="59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  <c r="AA355" s="59"/>
      <c r="AB355" s="59"/>
      <c r="AC355" s="59"/>
      <c r="AD355" s="59"/>
      <c r="AE355" s="59"/>
    </row>
    <row r="356" spans="1:31" ht="12.5">
      <c r="A356" s="59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  <c r="AA356" s="59"/>
      <c r="AB356" s="59"/>
      <c r="AC356" s="59"/>
      <c r="AD356" s="59"/>
      <c r="AE356" s="59"/>
    </row>
    <row r="357" spans="1:31" ht="12.5">
      <c r="A357" s="59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  <c r="AA357" s="59"/>
      <c r="AB357" s="59"/>
      <c r="AC357" s="59"/>
      <c r="AD357" s="59"/>
      <c r="AE357" s="59"/>
    </row>
    <row r="358" spans="1:31" ht="12.5">
      <c r="A358" s="59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  <c r="AA358" s="59"/>
      <c r="AB358" s="59"/>
      <c r="AC358" s="59"/>
      <c r="AD358" s="59"/>
      <c r="AE358" s="59"/>
    </row>
    <row r="359" spans="1:31" ht="12.5">
      <c r="A359" s="59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  <c r="AA359" s="59"/>
      <c r="AB359" s="59"/>
      <c r="AC359" s="59"/>
      <c r="AD359" s="59"/>
      <c r="AE359" s="59"/>
    </row>
    <row r="360" spans="1:31" ht="12.5">
      <c r="A360" s="59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  <c r="AA360" s="59"/>
      <c r="AB360" s="59"/>
      <c r="AC360" s="59"/>
      <c r="AD360" s="59"/>
      <c r="AE360" s="59"/>
    </row>
    <row r="361" spans="1:31" ht="12.5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  <c r="AA361" s="59"/>
      <c r="AB361" s="59"/>
      <c r="AC361" s="59"/>
      <c r="AD361" s="59"/>
      <c r="AE361" s="59"/>
    </row>
    <row r="362" spans="1:31" ht="12.5">
      <c r="A362" s="59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  <c r="AA362" s="59"/>
      <c r="AB362" s="59"/>
      <c r="AC362" s="59"/>
      <c r="AD362" s="59"/>
      <c r="AE362" s="59"/>
    </row>
    <row r="363" spans="1:31" ht="12.5">
      <c r="A363" s="59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  <c r="AA363" s="59"/>
      <c r="AB363" s="59"/>
      <c r="AC363" s="59"/>
      <c r="AD363" s="59"/>
      <c r="AE363" s="59"/>
    </row>
    <row r="364" spans="1:31" ht="12.5">
      <c r="A364" s="59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  <c r="AA364" s="59"/>
      <c r="AB364" s="59"/>
      <c r="AC364" s="59"/>
      <c r="AD364" s="59"/>
      <c r="AE364" s="59"/>
    </row>
    <row r="365" spans="1:31" ht="12.5">
      <c r="A365" s="59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  <c r="AA365" s="59"/>
      <c r="AB365" s="59"/>
      <c r="AC365" s="59"/>
      <c r="AD365" s="59"/>
      <c r="AE365" s="59"/>
    </row>
    <row r="366" spans="1:31" ht="12.5">
      <c r="A366" s="59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  <c r="AA366" s="59"/>
      <c r="AB366" s="59"/>
      <c r="AC366" s="59"/>
      <c r="AD366" s="59"/>
      <c r="AE366" s="59"/>
    </row>
    <row r="367" spans="1:31" ht="12.5">
      <c r="A367" s="59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  <c r="AA367" s="59"/>
      <c r="AB367" s="59"/>
      <c r="AC367" s="59"/>
      <c r="AD367" s="59"/>
      <c r="AE367" s="59"/>
    </row>
    <row r="368" spans="1:31" ht="12.5">
      <c r="A368" s="59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  <c r="AA368" s="59"/>
      <c r="AB368" s="59"/>
      <c r="AC368" s="59"/>
      <c r="AD368" s="59"/>
      <c r="AE368" s="59"/>
    </row>
    <row r="369" spans="1:31" ht="12.5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  <c r="AA369" s="59"/>
      <c r="AB369" s="59"/>
      <c r="AC369" s="59"/>
      <c r="AD369" s="59"/>
      <c r="AE369" s="59"/>
    </row>
    <row r="370" spans="1:31" ht="12.5">
      <c r="A370" s="59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  <c r="AA370" s="59"/>
      <c r="AB370" s="59"/>
      <c r="AC370" s="59"/>
      <c r="AD370" s="59"/>
      <c r="AE370" s="59"/>
    </row>
    <row r="371" spans="1:31" ht="12.5">
      <c r="A371" s="59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  <c r="AA371" s="59"/>
      <c r="AB371" s="59"/>
      <c r="AC371" s="59"/>
      <c r="AD371" s="59"/>
      <c r="AE371" s="59"/>
    </row>
    <row r="372" spans="1:31" ht="12.5">
      <c r="A372" s="59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  <c r="AA372" s="59"/>
      <c r="AB372" s="59"/>
      <c r="AC372" s="59"/>
      <c r="AD372" s="59"/>
      <c r="AE372" s="59"/>
    </row>
    <row r="373" spans="1:31" ht="12.5">
      <c r="A373" s="59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  <c r="AA373" s="59"/>
      <c r="AB373" s="59"/>
      <c r="AC373" s="59"/>
      <c r="AD373" s="59"/>
      <c r="AE373" s="59"/>
    </row>
    <row r="374" spans="1:31" ht="12.5">
      <c r="A374" s="59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  <c r="AA374" s="59"/>
      <c r="AB374" s="59"/>
      <c r="AC374" s="59"/>
      <c r="AD374" s="59"/>
      <c r="AE374" s="59"/>
    </row>
    <row r="375" spans="1:31" ht="12.5">
      <c r="A375" s="59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  <c r="AA375" s="59"/>
      <c r="AB375" s="59"/>
      <c r="AC375" s="59"/>
      <c r="AD375" s="59"/>
      <c r="AE375" s="59"/>
    </row>
    <row r="376" spans="1:31" ht="12.5">
      <c r="A376" s="59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  <c r="AA376" s="59"/>
      <c r="AB376" s="59"/>
      <c r="AC376" s="59"/>
      <c r="AD376" s="59"/>
      <c r="AE376" s="59"/>
    </row>
    <row r="377" spans="1:31" ht="12.5">
      <c r="A377" s="59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  <c r="AA377" s="59"/>
      <c r="AB377" s="59"/>
      <c r="AC377" s="59"/>
      <c r="AD377" s="59"/>
      <c r="AE377" s="59"/>
    </row>
    <row r="378" spans="1:31" ht="12.5">
      <c r="A378" s="59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  <c r="AA378" s="59"/>
      <c r="AB378" s="59"/>
      <c r="AC378" s="59"/>
      <c r="AD378" s="59"/>
      <c r="AE378" s="59"/>
    </row>
    <row r="379" spans="1:31" ht="12.5">
      <c r="A379" s="59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  <c r="AA379" s="59"/>
      <c r="AB379" s="59"/>
      <c r="AC379" s="59"/>
      <c r="AD379" s="59"/>
      <c r="AE379" s="59"/>
    </row>
    <row r="380" spans="1:31" ht="12.5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  <c r="AA380" s="59"/>
      <c r="AB380" s="59"/>
      <c r="AC380" s="59"/>
      <c r="AD380" s="59"/>
      <c r="AE380" s="59"/>
    </row>
    <row r="381" spans="1:31" ht="12.5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  <c r="AA381" s="59"/>
      <c r="AB381" s="59"/>
      <c r="AC381" s="59"/>
      <c r="AD381" s="59"/>
      <c r="AE381" s="59"/>
    </row>
    <row r="382" spans="1:31" ht="12.5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  <c r="AA382" s="59"/>
      <c r="AB382" s="59"/>
      <c r="AC382" s="59"/>
      <c r="AD382" s="59"/>
      <c r="AE382" s="59"/>
    </row>
    <row r="383" spans="1:31" ht="12.5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  <c r="AA383" s="59"/>
      <c r="AB383" s="59"/>
      <c r="AC383" s="59"/>
      <c r="AD383" s="59"/>
      <c r="AE383" s="59"/>
    </row>
    <row r="384" spans="1:31" ht="12.5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  <c r="AA384" s="59"/>
      <c r="AB384" s="59"/>
      <c r="AC384" s="59"/>
      <c r="AD384" s="59"/>
      <c r="AE384" s="59"/>
    </row>
    <row r="385" spans="1:31" ht="12.5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  <c r="AA385" s="59"/>
      <c r="AB385" s="59"/>
      <c r="AC385" s="59"/>
      <c r="AD385" s="59"/>
      <c r="AE385" s="59"/>
    </row>
    <row r="386" spans="1:31" ht="12.5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  <c r="AA386" s="59"/>
      <c r="AB386" s="59"/>
      <c r="AC386" s="59"/>
      <c r="AD386" s="59"/>
      <c r="AE386" s="59"/>
    </row>
    <row r="387" spans="1:31" ht="12.5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  <c r="AA387" s="59"/>
      <c r="AB387" s="59"/>
      <c r="AC387" s="59"/>
      <c r="AD387" s="59"/>
      <c r="AE387" s="59"/>
    </row>
    <row r="388" spans="1:31" ht="12.5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  <c r="AA388" s="59"/>
      <c r="AB388" s="59"/>
      <c r="AC388" s="59"/>
      <c r="AD388" s="59"/>
      <c r="AE388" s="59"/>
    </row>
    <row r="389" spans="1:31" ht="12.5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  <c r="AA389" s="59"/>
      <c r="AB389" s="59"/>
      <c r="AC389" s="59"/>
      <c r="AD389" s="59"/>
      <c r="AE389" s="59"/>
    </row>
    <row r="390" spans="1:31" ht="12.5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  <c r="AA390" s="59"/>
      <c r="AB390" s="59"/>
      <c r="AC390" s="59"/>
      <c r="AD390" s="59"/>
      <c r="AE390" s="59"/>
    </row>
    <row r="391" spans="1:31" ht="12.5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  <c r="AA391" s="59"/>
      <c r="AB391" s="59"/>
      <c r="AC391" s="59"/>
      <c r="AD391" s="59"/>
      <c r="AE391" s="59"/>
    </row>
    <row r="392" spans="1:31" ht="12.5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  <c r="AA392" s="59"/>
      <c r="AB392" s="59"/>
      <c r="AC392" s="59"/>
      <c r="AD392" s="59"/>
      <c r="AE392" s="59"/>
    </row>
    <row r="393" spans="1:31" ht="12.5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  <c r="AA393" s="59"/>
      <c r="AB393" s="59"/>
      <c r="AC393" s="59"/>
      <c r="AD393" s="59"/>
      <c r="AE393" s="59"/>
    </row>
    <row r="394" spans="1:31" ht="12.5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  <c r="AA394" s="59"/>
      <c r="AB394" s="59"/>
      <c r="AC394" s="59"/>
      <c r="AD394" s="59"/>
      <c r="AE394" s="59"/>
    </row>
    <row r="395" spans="1:31" ht="12.5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  <c r="AA395" s="59"/>
      <c r="AB395" s="59"/>
      <c r="AC395" s="59"/>
      <c r="AD395" s="59"/>
      <c r="AE395" s="59"/>
    </row>
    <row r="396" spans="1:31" ht="12.5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  <c r="AA396" s="59"/>
      <c r="AB396" s="59"/>
      <c r="AC396" s="59"/>
      <c r="AD396" s="59"/>
      <c r="AE396" s="59"/>
    </row>
    <row r="397" spans="1:31" ht="12.5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  <c r="AA397" s="59"/>
      <c r="AB397" s="59"/>
      <c r="AC397" s="59"/>
      <c r="AD397" s="59"/>
      <c r="AE397" s="59"/>
    </row>
    <row r="398" spans="1:31" ht="12.5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  <c r="AA398" s="59"/>
      <c r="AB398" s="59"/>
      <c r="AC398" s="59"/>
      <c r="AD398" s="59"/>
      <c r="AE398" s="59"/>
    </row>
    <row r="399" spans="1:31" ht="12.5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  <c r="AA399" s="59"/>
      <c r="AB399" s="59"/>
      <c r="AC399" s="59"/>
      <c r="AD399" s="59"/>
      <c r="AE399" s="59"/>
    </row>
    <row r="400" spans="1:31" ht="12.5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  <c r="AA400" s="59"/>
      <c r="AB400" s="59"/>
      <c r="AC400" s="59"/>
      <c r="AD400" s="59"/>
      <c r="AE400" s="59"/>
    </row>
    <row r="401" spans="1:31" ht="12.5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  <c r="AA401" s="59"/>
      <c r="AB401" s="59"/>
      <c r="AC401" s="59"/>
      <c r="AD401" s="59"/>
      <c r="AE401" s="59"/>
    </row>
    <row r="402" spans="1:31" ht="12.5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  <c r="AA402" s="59"/>
      <c r="AB402" s="59"/>
      <c r="AC402" s="59"/>
      <c r="AD402" s="59"/>
      <c r="AE402" s="59"/>
    </row>
    <row r="403" spans="1:31" ht="12.5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  <c r="AA403" s="59"/>
      <c r="AB403" s="59"/>
      <c r="AC403" s="59"/>
      <c r="AD403" s="59"/>
      <c r="AE403" s="59"/>
    </row>
    <row r="404" spans="1:31" ht="12.5">
      <c r="A404" s="59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  <c r="AA404" s="59"/>
      <c r="AB404" s="59"/>
      <c r="AC404" s="59"/>
      <c r="AD404" s="59"/>
      <c r="AE404" s="59"/>
    </row>
    <row r="405" spans="1:31" ht="12.5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  <c r="AA405" s="59"/>
      <c r="AB405" s="59"/>
      <c r="AC405" s="59"/>
      <c r="AD405" s="59"/>
      <c r="AE405" s="59"/>
    </row>
    <row r="406" spans="1:31" ht="12.5">
      <c r="A406" s="59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  <c r="AA406" s="59"/>
      <c r="AB406" s="59"/>
      <c r="AC406" s="59"/>
      <c r="AD406" s="59"/>
      <c r="AE406" s="59"/>
    </row>
    <row r="407" spans="1:31" ht="12.5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  <c r="AA407" s="59"/>
      <c r="AB407" s="59"/>
      <c r="AC407" s="59"/>
      <c r="AD407" s="59"/>
      <c r="AE407" s="59"/>
    </row>
    <row r="408" spans="1:31" ht="12.5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  <c r="AA408" s="59"/>
      <c r="AB408" s="59"/>
      <c r="AC408" s="59"/>
      <c r="AD408" s="59"/>
      <c r="AE408" s="59"/>
    </row>
    <row r="409" spans="1:31" ht="12.5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  <c r="AA409" s="59"/>
      <c r="AB409" s="59"/>
      <c r="AC409" s="59"/>
      <c r="AD409" s="59"/>
      <c r="AE409" s="59"/>
    </row>
    <row r="410" spans="1:31" ht="12.5">
      <c r="A410" s="59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  <c r="AA410" s="59"/>
      <c r="AB410" s="59"/>
      <c r="AC410" s="59"/>
      <c r="AD410" s="59"/>
      <c r="AE410" s="59"/>
    </row>
    <row r="411" spans="1:31" ht="12.5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  <c r="AA411" s="59"/>
      <c r="AB411" s="59"/>
      <c r="AC411" s="59"/>
      <c r="AD411" s="59"/>
      <c r="AE411" s="59"/>
    </row>
    <row r="412" spans="1:31" ht="12.5">
      <c r="A412" s="59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  <c r="AA412" s="59"/>
      <c r="AB412" s="59"/>
      <c r="AC412" s="59"/>
      <c r="AD412" s="59"/>
      <c r="AE412" s="59"/>
    </row>
    <row r="413" spans="1:31" ht="12.5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  <c r="AA413" s="59"/>
      <c r="AB413" s="59"/>
      <c r="AC413" s="59"/>
      <c r="AD413" s="59"/>
      <c r="AE413" s="59"/>
    </row>
    <row r="414" spans="1:31" ht="12.5">
      <c r="A414" s="59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  <c r="AA414" s="59"/>
      <c r="AB414" s="59"/>
      <c r="AC414" s="59"/>
      <c r="AD414" s="59"/>
      <c r="AE414" s="59"/>
    </row>
    <row r="415" spans="1:31" ht="12.5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  <c r="AA415" s="59"/>
      <c r="AB415" s="59"/>
      <c r="AC415" s="59"/>
      <c r="AD415" s="59"/>
      <c r="AE415" s="59"/>
    </row>
    <row r="416" spans="1:31" ht="12.5">
      <c r="A416" s="59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  <c r="AA416" s="59"/>
      <c r="AB416" s="59"/>
      <c r="AC416" s="59"/>
      <c r="AD416" s="59"/>
      <c r="AE416" s="59"/>
    </row>
    <row r="417" spans="1:31" ht="12.5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  <c r="AA417" s="59"/>
      <c r="AB417" s="59"/>
      <c r="AC417" s="59"/>
      <c r="AD417" s="59"/>
      <c r="AE417" s="59"/>
    </row>
    <row r="418" spans="1:31" ht="12.5">
      <c r="A418" s="59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  <c r="AA418" s="59"/>
      <c r="AB418" s="59"/>
      <c r="AC418" s="59"/>
      <c r="AD418" s="59"/>
      <c r="AE418" s="59"/>
    </row>
    <row r="419" spans="1:31" ht="12.5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  <c r="AA419" s="59"/>
      <c r="AB419" s="59"/>
      <c r="AC419" s="59"/>
      <c r="AD419" s="59"/>
      <c r="AE419" s="59"/>
    </row>
    <row r="420" spans="1:31" ht="12.5">
      <c r="A420" s="59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  <c r="AA420" s="59"/>
      <c r="AB420" s="59"/>
      <c r="AC420" s="59"/>
      <c r="AD420" s="59"/>
      <c r="AE420" s="59"/>
    </row>
    <row r="421" spans="1:31" ht="12.5">
      <c r="A421" s="59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  <c r="AA421" s="59"/>
      <c r="AB421" s="59"/>
      <c r="AC421" s="59"/>
      <c r="AD421" s="59"/>
      <c r="AE421" s="59"/>
    </row>
    <row r="422" spans="1:31" ht="12.5">
      <c r="A422" s="59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  <c r="AA422" s="59"/>
      <c r="AB422" s="59"/>
      <c r="AC422" s="59"/>
      <c r="AD422" s="59"/>
      <c r="AE422" s="59"/>
    </row>
    <row r="423" spans="1:31" ht="12.5">
      <c r="A423" s="59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  <c r="AA423" s="59"/>
      <c r="AB423" s="59"/>
      <c r="AC423" s="59"/>
      <c r="AD423" s="59"/>
      <c r="AE423" s="59"/>
    </row>
    <row r="424" spans="1:31" ht="12.5">
      <c r="A424" s="59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  <c r="AA424" s="59"/>
      <c r="AB424" s="59"/>
      <c r="AC424" s="59"/>
      <c r="AD424" s="59"/>
      <c r="AE424" s="59"/>
    </row>
    <row r="425" spans="1:31" ht="12.5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  <c r="AA425" s="59"/>
      <c r="AB425" s="59"/>
      <c r="AC425" s="59"/>
      <c r="AD425" s="59"/>
      <c r="AE425" s="59"/>
    </row>
    <row r="426" spans="1:31" ht="12.5">
      <c r="A426" s="59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  <c r="AA426" s="59"/>
      <c r="AB426" s="59"/>
      <c r="AC426" s="59"/>
      <c r="AD426" s="59"/>
      <c r="AE426" s="59"/>
    </row>
    <row r="427" spans="1:31" ht="12.5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  <c r="AA427" s="59"/>
      <c r="AB427" s="59"/>
      <c r="AC427" s="59"/>
      <c r="AD427" s="59"/>
      <c r="AE427" s="59"/>
    </row>
    <row r="428" spans="1:31" ht="12.5">
      <c r="A428" s="59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  <c r="AA428" s="59"/>
      <c r="AB428" s="59"/>
      <c r="AC428" s="59"/>
      <c r="AD428" s="59"/>
      <c r="AE428" s="59"/>
    </row>
    <row r="429" spans="1:31" ht="12.5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  <c r="AA429" s="59"/>
      <c r="AB429" s="59"/>
      <c r="AC429" s="59"/>
      <c r="AD429" s="59"/>
      <c r="AE429" s="59"/>
    </row>
    <row r="430" spans="1:31" ht="12.5">
      <c r="A430" s="59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  <c r="AA430" s="59"/>
      <c r="AB430" s="59"/>
      <c r="AC430" s="59"/>
      <c r="AD430" s="59"/>
      <c r="AE430" s="59"/>
    </row>
    <row r="431" spans="1:31" ht="12.5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  <c r="AA431" s="59"/>
      <c r="AB431" s="59"/>
      <c r="AC431" s="59"/>
      <c r="AD431" s="59"/>
      <c r="AE431" s="59"/>
    </row>
    <row r="432" spans="1:31" ht="12.5">
      <c r="A432" s="59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  <c r="AA432" s="59"/>
      <c r="AB432" s="59"/>
      <c r="AC432" s="59"/>
      <c r="AD432" s="59"/>
      <c r="AE432" s="59"/>
    </row>
    <row r="433" spans="1:31" ht="12.5">
      <c r="A433" s="59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  <c r="AA433" s="59"/>
      <c r="AB433" s="59"/>
      <c r="AC433" s="59"/>
      <c r="AD433" s="59"/>
      <c r="AE433" s="59"/>
    </row>
    <row r="434" spans="1:31" ht="12.5">
      <c r="A434" s="59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  <c r="AA434" s="59"/>
      <c r="AB434" s="59"/>
      <c r="AC434" s="59"/>
      <c r="AD434" s="59"/>
      <c r="AE434" s="59"/>
    </row>
    <row r="435" spans="1:31" ht="12.5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  <c r="AA435" s="59"/>
      <c r="AB435" s="59"/>
      <c r="AC435" s="59"/>
      <c r="AD435" s="59"/>
      <c r="AE435" s="59"/>
    </row>
    <row r="436" spans="1:31" ht="12.5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  <c r="AA436" s="59"/>
      <c r="AB436" s="59"/>
      <c r="AC436" s="59"/>
      <c r="AD436" s="59"/>
      <c r="AE436" s="59"/>
    </row>
    <row r="437" spans="1:31" ht="12.5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  <c r="AA437" s="59"/>
      <c r="AB437" s="59"/>
      <c r="AC437" s="59"/>
      <c r="AD437" s="59"/>
      <c r="AE437" s="59"/>
    </row>
    <row r="438" spans="1:31" ht="12.5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  <c r="AA438" s="59"/>
      <c r="AB438" s="59"/>
      <c r="AC438" s="59"/>
      <c r="AD438" s="59"/>
      <c r="AE438" s="59"/>
    </row>
    <row r="439" spans="1:31" ht="12.5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  <c r="AA439" s="59"/>
      <c r="AB439" s="59"/>
      <c r="AC439" s="59"/>
      <c r="AD439" s="59"/>
      <c r="AE439" s="59"/>
    </row>
    <row r="440" spans="1:31" ht="12.5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  <c r="AA440" s="59"/>
      <c r="AB440" s="59"/>
      <c r="AC440" s="59"/>
      <c r="AD440" s="59"/>
      <c r="AE440" s="59"/>
    </row>
    <row r="441" spans="1:31" ht="12.5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  <c r="AA441" s="59"/>
      <c r="AB441" s="59"/>
      <c r="AC441" s="59"/>
      <c r="AD441" s="59"/>
      <c r="AE441" s="59"/>
    </row>
    <row r="442" spans="1:31" ht="12.5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  <c r="AA442" s="59"/>
      <c r="AB442" s="59"/>
      <c r="AC442" s="59"/>
      <c r="AD442" s="59"/>
      <c r="AE442" s="59"/>
    </row>
    <row r="443" spans="1:31" ht="12.5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  <c r="AA443" s="59"/>
      <c r="AB443" s="59"/>
      <c r="AC443" s="59"/>
      <c r="AD443" s="59"/>
      <c r="AE443" s="59"/>
    </row>
    <row r="444" spans="1:31" ht="12.5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  <c r="AA444" s="59"/>
      <c r="AB444" s="59"/>
      <c r="AC444" s="59"/>
      <c r="AD444" s="59"/>
      <c r="AE444" s="59"/>
    </row>
    <row r="445" spans="1:31" ht="12.5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  <c r="AA445" s="59"/>
      <c r="AB445" s="59"/>
      <c r="AC445" s="59"/>
      <c r="AD445" s="59"/>
      <c r="AE445" s="59"/>
    </row>
    <row r="446" spans="1:31" ht="12.5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  <c r="AA446" s="59"/>
      <c r="AB446" s="59"/>
      <c r="AC446" s="59"/>
      <c r="AD446" s="59"/>
      <c r="AE446" s="59"/>
    </row>
    <row r="447" spans="1:31" ht="12.5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  <c r="AA447" s="59"/>
      <c r="AB447" s="59"/>
      <c r="AC447" s="59"/>
      <c r="AD447" s="59"/>
      <c r="AE447" s="59"/>
    </row>
    <row r="448" spans="1:31" ht="12.5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  <c r="AA448" s="59"/>
      <c r="AB448" s="59"/>
      <c r="AC448" s="59"/>
      <c r="AD448" s="59"/>
      <c r="AE448" s="59"/>
    </row>
    <row r="449" spans="1:31" ht="12.5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  <c r="AA449" s="59"/>
      <c r="AB449" s="59"/>
      <c r="AC449" s="59"/>
      <c r="AD449" s="59"/>
      <c r="AE449" s="59"/>
    </row>
    <row r="450" spans="1:31" ht="12.5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  <c r="AA450" s="59"/>
      <c r="AB450" s="59"/>
      <c r="AC450" s="59"/>
      <c r="AD450" s="59"/>
      <c r="AE450" s="59"/>
    </row>
    <row r="451" spans="1:31" ht="12.5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  <c r="AA451" s="59"/>
      <c r="AB451" s="59"/>
      <c r="AC451" s="59"/>
      <c r="AD451" s="59"/>
      <c r="AE451" s="59"/>
    </row>
    <row r="452" spans="1:31" ht="12.5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  <c r="AA452" s="59"/>
      <c r="AB452" s="59"/>
      <c r="AC452" s="59"/>
      <c r="AD452" s="59"/>
      <c r="AE452" s="59"/>
    </row>
    <row r="453" spans="1:31" ht="12.5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  <c r="AA453" s="59"/>
      <c r="AB453" s="59"/>
      <c r="AC453" s="59"/>
      <c r="AD453" s="59"/>
      <c r="AE453" s="59"/>
    </row>
    <row r="454" spans="1:31" ht="12.5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  <c r="AA454" s="59"/>
      <c r="AB454" s="59"/>
      <c r="AC454" s="59"/>
      <c r="AD454" s="59"/>
      <c r="AE454" s="59"/>
    </row>
    <row r="455" spans="1:31" ht="12.5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  <c r="AA455" s="59"/>
      <c r="AB455" s="59"/>
      <c r="AC455" s="59"/>
      <c r="AD455" s="59"/>
      <c r="AE455" s="59"/>
    </row>
    <row r="456" spans="1:31" ht="12.5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  <c r="AA456" s="59"/>
      <c r="AB456" s="59"/>
      <c r="AC456" s="59"/>
      <c r="AD456" s="59"/>
      <c r="AE456" s="59"/>
    </row>
    <row r="457" spans="1:31" ht="12.5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  <c r="AA457" s="59"/>
      <c r="AB457" s="59"/>
      <c r="AC457" s="59"/>
      <c r="AD457" s="59"/>
      <c r="AE457" s="59"/>
    </row>
    <row r="458" spans="1:31" ht="12.5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  <c r="AA458" s="59"/>
      <c r="AB458" s="59"/>
      <c r="AC458" s="59"/>
      <c r="AD458" s="59"/>
      <c r="AE458" s="59"/>
    </row>
    <row r="459" spans="1:31" ht="12.5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  <c r="AA459" s="59"/>
      <c r="AB459" s="59"/>
      <c r="AC459" s="59"/>
      <c r="AD459" s="59"/>
      <c r="AE459" s="59"/>
    </row>
    <row r="460" spans="1:31" ht="12.5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  <c r="AA460" s="59"/>
      <c r="AB460" s="59"/>
      <c r="AC460" s="59"/>
      <c r="AD460" s="59"/>
      <c r="AE460" s="59"/>
    </row>
    <row r="461" spans="1:31" ht="12.5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  <c r="AA461" s="59"/>
      <c r="AB461" s="59"/>
      <c r="AC461" s="59"/>
      <c r="AD461" s="59"/>
      <c r="AE461" s="59"/>
    </row>
    <row r="462" spans="1:31" ht="12.5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  <c r="AA462" s="59"/>
      <c r="AB462" s="59"/>
      <c r="AC462" s="59"/>
      <c r="AD462" s="59"/>
      <c r="AE462" s="59"/>
    </row>
    <row r="463" spans="1:31" ht="12.5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  <c r="AA463" s="59"/>
      <c r="AB463" s="59"/>
      <c r="AC463" s="59"/>
      <c r="AD463" s="59"/>
      <c r="AE463" s="59"/>
    </row>
    <row r="464" spans="1:31" ht="12.5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  <c r="AA464" s="59"/>
      <c r="AB464" s="59"/>
      <c r="AC464" s="59"/>
      <c r="AD464" s="59"/>
      <c r="AE464" s="59"/>
    </row>
    <row r="465" spans="1:31" ht="12.5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  <c r="AA465" s="59"/>
      <c r="AB465" s="59"/>
      <c r="AC465" s="59"/>
      <c r="AD465" s="59"/>
      <c r="AE465" s="59"/>
    </row>
    <row r="466" spans="1:31" ht="12.5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  <c r="AA466" s="59"/>
      <c r="AB466" s="59"/>
      <c r="AC466" s="59"/>
      <c r="AD466" s="59"/>
      <c r="AE466" s="59"/>
    </row>
    <row r="467" spans="1:31" ht="12.5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  <c r="AA467" s="59"/>
      <c r="AB467" s="59"/>
      <c r="AC467" s="59"/>
      <c r="AD467" s="59"/>
      <c r="AE467" s="59"/>
    </row>
    <row r="468" spans="1:31" ht="12.5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  <c r="AA468" s="59"/>
      <c r="AB468" s="59"/>
      <c r="AC468" s="59"/>
      <c r="AD468" s="59"/>
      <c r="AE468" s="59"/>
    </row>
    <row r="469" spans="1:31" ht="12.5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  <c r="AA469" s="59"/>
      <c r="AB469" s="59"/>
      <c r="AC469" s="59"/>
      <c r="AD469" s="59"/>
      <c r="AE469" s="59"/>
    </row>
    <row r="470" spans="1:31" ht="12.5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  <c r="AA470" s="59"/>
      <c r="AB470" s="59"/>
      <c r="AC470" s="59"/>
      <c r="AD470" s="59"/>
      <c r="AE470" s="59"/>
    </row>
    <row r="471" spans="1:31" ht="12.5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  <c r="AA471" s="59"/>
      <c r="AB471" s="59"/>
      <c r="AC471" s="59"/>
      <c r="AD471" s="59"/>
      <c r="AE471" s="59"/>
    </row>
    <row r="472" spans="1:31" ht="12.5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  <c r="AA472" s="59"/>
      <c r="AB472" s="59"/>
      <c r="AC472" s="59"/>
      <c r="AD472" s="59"/>
      <c r="AE472" s="59"/>
    </row>
    <row r="473" spans="1:31" ht="12.5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  <c r="AA473" s="59"/>
      <c r="AB473" s="59"/>
      <c r="AC473" s="59"/>
      <c r="AD473" s="59"/>
      <c r="AE473" s="59"/>
    </row>
    <row r="474" spans="1:31" ht="12.5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  <c r="AA474" s="59"/>
      <c r="AB474" s="59"/>
      <c r="AC474" s="59"/>
      <c r="AD474" s="59"/>
      <c r="AE474" s="59"/>
    </row>
    <row r="475" spans="1:31" ht="12.5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  <c r="AA475" s="59"/>
      <c r="AB475" s="59"/>
      <c r="AC475" s="59"/>
      <c r="AD475" s="59"/>
      <c r="AE475" s="59"/>
    </row>
    <row r="476" spans="1:31" ht="12.5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  <c r="AA476" s="59"/>
      <c r="AB476" s="59"/>
      <c r="AC476" s="59"/>
      <c r="AD476" s="59"/>
      <c r="AE476" s="59"/>
    </row>
    <row r="477" spans="1:31" ht="12.5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  <c r="AA477" s="59"/>
      <c r="AB477" s="59"/>
      <c r="AC477" s="59"/>
      <c r="AD477" s="59"/>
      <c r="AE477" s="59"/>
    </row>
    <row r="478" spans="1:31" ht="12.5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  <c r="AA478" s="59"/>
      <c r="AB478" s="59"/>
      <c r="AC478" s="59"/>
      <c r="AD478" s="59"/>
      <c r="AE478" s="59"/>
    </row>
    <row r="479" spans="1:31" ht="12.5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  <c r="AA479" s="59"/>
      <c r="AB479" s="59"/>
      <c r="AC479" s="59"/>
      <c r="AD479" s="59"/>
      <c r="AE479" s="59"/>
    </row>
    <row r="480" spans="1:31" ht="12.5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  <c r="AA480" s="59"/>
      <c r="AB480" s="59"/>
      <c r="AC480" s="59"/>
      <c r="AD480" s="59"/>
      <c r="AE480" s="59"/>
    </row>
    <row r="481" spans="1:31" ht="12.5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  <c r="AA481" s="59"/>
      <c r="AB481" s="59"/>
      <c r="AC481" s="59"/>
      <c r="AD481" s="59"/>
      <c r="AE481" s="59"/>
    </row>
    <row r="482" spans="1:31" ht="12.5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  <c r="AA482" s="59"/>
      <c r="AB482" s="59"/>
      <c r="AC482" s="59"/>
      <c r="AD482" s="59"/>
      <c r="AE482" s="59"/>
    </row>
    <row r="483" spans="1:31" ht="12.5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  <c r="AA483" s="59"/>
      <c r="AB483" s="59"/>
      <c r="AC483" s="59"/>
      <c r="AD483" s="59"/>
      <c r="AE483" s="59"/>
    </row>
    <row r="484" spans="1:31" ht="12.5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  <c r="AA484" s="59"/>
      <c r="AB484" s="59"/>
      <c r="AC484" s="59"/>
      <c r="AD484" s="59"/>
      <c r="AE484" s="59"/>
    </row>
    <row r="485" spans="1:31" ht="12.5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  <c r="AA485" s="59"/>
      <c r="AB485" s="59"/>
      <c r="AC485" s="59"/>
      <c r="AD485" s="59"/>
      <c r="AE485" s="59"/>
    </row>
    <row r="486" spans="1:31" ht="12.5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  <c r="AA486" s="59"/>
      <c r="AB486" s="59"/>
      <c r="AC486" s="59"/>
      <c r="AD486" s="59"/>
      <c r="AE486" s="59"/>
    </row>
    <row r="487" spans="1:31" ht="12.5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  <c r="AA487" s="59"/>
      <c r="AB487" s="59"/>
      <c r="AC487" s="59"/>
      <c r="AD487" s="59"/>
      <c r="AE487" s="59"/>
    </row>
    <row r="488" spans="1:31" ht="12.5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  <c r="AA488" s="59"/>
      <c r="AB488" s="59"/>
      <c r="AC488" s="59"/>
      <c r="AD488" s="59"/>
      <c r="AE488" s="59"/>
    </row>
    <row r="489" spans="1:31" ht="12.5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  <c r="AA489" s="59"/>
      <c r="AB489" s="59"/>
      <c r="AC489" s="59"/>
      <c r="AD489" s="59"/>
      <c r="AE489" s="59"/>
    </row>
    <row r="490" spans="1:31" ht="12.5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  <c r="AA490" s="59"/>
      <c r="AB490" s="59"/>
      <c r="AC490" s="59"/>
      <c r="AD490" s="59"/>
      <c r="AE490" s="59"/>
    </row>
    <row r="491" spans="1:31" ht="12.5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  <c r="AA491" s="59"/>
      <c r="AB491" s="59"/>
      <c r="AC491" s="59"/>
      <c r="AD491" s="59"/>
      <c r="AE491" s="59"/>
    </row>
    <row r="492" spans="1:31" ht="12.5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  <c r="AA492" s="59"/>
      <c r="AB492" s="59"/>
      <c r="AC492" s="59"/>
      <c r="AD492" s="59"/>
      <c r="AE492" s="59"/>
    </row>
    <row r="493" spans="1:31" ht="12.5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  <c r="AA493" s="59"/>
      <c r="AB493" s="59"/>
      <c r="AC493" s="59"/>
      <c r="AD493" s="59"/>
      <c r="AE493" s="59"/>
    </row>
    <row r="494" spans="1:31" ht="12.5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  <c r="AA494" s="59"/>
      <c r="AB494" s="59"/>
      <c r="AC494" s="59"/>
      <c r="AD494" s="59"/>
      <c r="AE494" s="59"/>
    </row>
    <row r="495" spans="1:31" ht="12.5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  <c r="AA495" s="59"/>
      <c r="AB495" s="59"/>
      <c r="AC495" s="59"/>
      <c r="AD495" s="59"/>
      <c r="AE495" s="59"/>
    </row>
    <row r="496" spans="1:31" ht="12.5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  <c r="AA496" s="59"/>
      <c r="AB496" s="59"/>
      <c r="AC496" s="59"/>
      <c r="AD496" s="59"/>
      <c r="AE496" s="59"/>
    </row>
    <row r="497" spans="1:31" ht="12.5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  <c r="AA497" s="59"/>
      <c r="AB497" s="59"/>
      <c r="AC497" s="59"/>
      <c r="AD497" s="59"/>
      <c r="AE497" s="59"/>
    </row>
    <row r="498" spans="1:31" ht="12.5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  <c r="AA498" s="59"/>
      <c r="AB498" s="59"/>
      <c r="AC498" s="59"/>
      <c r="AD498" s="59"/>
      <c r="AE498" s="59"/>
    </row>
    <row r="499" spans="1:31" ht="12.5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  <c r="AA499" s="59"/>
      <c r="AB499" s="59"/>
      <c r="AC499" s="59"/>
      <c r="AD499" s="59"/>
      <c r="AE499" s="59"/>
    </row>
    <row r="500" spans="1:31" ht="12.5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  <c r="AA500" s="59"/>
      <c r="AB500" s="59"/>
      <c r="AC500" s="59"/>
      <c r="AD500" s="59"/>
      <c r="AE500" s="59"/>
    </row>
    <row r="501" spans="1:31" ht="12.5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  <c r="AA501" s="59"/>
      <c r="AB501" s="59"/>
      <c r="AC501" s="59"/>
      <c r="AD501" s="59"/>
      <c r="AE501" s="59"/>
    </row>
    <row r="502" spans="1:31" ht="12.5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  <c r="AA502" s="59"/>
      <c r="AB502" s="59"/>
      <c r="AC502" s="59"/>
      <c r="AD502" s="59"/>
      <c r="AE502" s="59"/>
    </row>
    <row r="503" spans="1:31" ht="12.5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  <c r="AA503" s="59"/>
      <c r="AB503" s="59"/>
      <c r="AC503" s="59"/>
      <c r="AD503" s="59"/>
      <c r="AE503" s="59"/>
    </row>
    <row r="504" spans="1:31" ht="12.5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  <c r="AA504" s="59"/>
      <c r="AB504" s="59"/>
      <c r="AC504" s="59"/>
      <c r="AD504" s="59"/>
      <c r="AE504" s="59"/>
    </row>
    <row r="505" spans="1:31" ht="12.5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  <c r="AA505" s="59"/>
      <c r="AB505" s="59"/>
      <c r="AC505" s="59"/>
      <c r="AD505" s="59"/>
      <c r="AE505" s="59"/>
    </row>
    <row r="506" spans="1:31" ht="12.5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  <c r="AA506" s="59"/>
      <c r="AB506" s="59"/>
      <c r="AC506" s="59"/>
      <c r="AD506" s="59"/>
      <c r="AE506" s="59"/>
    </row>
    <row r="507" spans="1:31" ht="12.5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  <c r="AA507" s="59"/>
      <c r="AB507" s="59"/>
      <c r="AC507" s="59"/>
      <c r="AD507" s="59"/>
      <c r="AE507" s="59"/>
    </row>
    <row r="508" spans="1:31" ht="12.5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  <c r="AA508" s="59"/>
      <c r="AB508" s="59"/>
      <c r="AC508" s="59"/>
      <c r="AD508" s="59"/>
      <c r="AE508" s="59"/>
    </row>
    <row r="509" spans="1:31" ht="12.5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  <c r="AA509" s="59"/>
      <c r="AB509" s="59"/>
      <c r="AC509" s="59"/>
      <c r="AD509" s="59"/>
      <c r="AE509" s="59"/>
    </row>
    <row r="510" spans="1:31" ht="12.5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  <c r="AA510" s="59"/>
      <c r="AB510" s="59"/>
      <c r="AC510" s="59"/>
      <c r="AD510" s="59"/>
      <c r="AE510" s="59"/>
    </row>
    <row r="511" spans="1:31" ht="12.5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  <c r="AA511" s="59"/>
      <c r="AB511" s="59"/>
      <c r="AC511" s="59"/>
      <c r="AD511" s="59"/>
      <c r="AE511" s="59"/>
    </row>
    <row r="512" spans="1:31" ht="12.5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  <c r="AA512" s="59"/>
      <c r="AB512" s="59"/>
      <c r="AC512" s="59"/>
      <c r="AD512" s="59"/>
      <c r="AE512" s="59"/>
    </row>
    <row r="513" spans="1:31" ht="12.5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  <c r="AA513" s="59"/>
      <c r="AB513" s="59"/>
      <c r="AC513" s="59"/>
      <c r="AD513" s="59"/>
      <c r="AE513" s="59"/>
    </row>
    <row r="514" spans="1:31" ht="12.5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  <c r="AA514" s="59"/>
      <c r="AB514" s="59"/>
      <c r="AC514" s="59"/>
      <c r="AD514" s="59"/>
      <c r="AE514" s="59"/>
    </row>
    <row r="515" spans="1:31" ht="12.5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  <c r="AA515" s="59"/>
      <c r="AB515" s="59"/>
      <c r="AC515" s="59"/>
      <c r="AD515" s="59"/>
      <c r="AE515" s="59"/>
    </row>
    <row r="516" spans="1:31" ht="12.5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  <c r="AA516" s="59"/>
      <c r="AB516" s="59"/>
      <c r="AC516" s="59"/>
      <c r="AD516" s="59"/>
      <c r="AE516" s="59"/>
    </row>
    <row r="517" spans="1:31" ht="12.5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  <c r="AA517" s="59"/>
      <c r="AB517" s="59"/>
      <c r="AC517" s="59"/>
      <c r="AD517" s="59"/>
      <c r="AE517" s="59"/>
    </row>
    <row r="518" spans="1:31" ht="12.5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  <c r="AA518" s="59"/>
      <c r="AB518" s="59"/>
      <c r="AC518" s="59"/>
      <c r="AD518" s="59"/>
      <c r="AE518" s="59"/>
    </row>
    <row r="519" spans="1:31" ht="12.5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  <c r="AA519" s="59"/>
      <c r="AB519" s="59"/>
      <c r="AC519" s="59"/>
      <c r="AD519" s="59"/>
      <c r="AE519" s="59"/>
    </row>
    <row r="520" spans="1:31" ht="12.5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  <c r="AA520" s="59"/>
      <c r="AB520" s="59"/>
      <c r="AC520" s="59"/>
      <c r="AD520" s="59"/>
      <c r="AE520" s="59"/>
    </row>
    <row r="521" spans="1:31" ht="12.5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  <c r="AA521" s="59"/>
      <c r="AB521" s="59"/>
      <c r="AC521" s="59"/>
      <c r="AD521" s="59"/>
      <c r="AE521" s="59"/>
    </row>
    <row r="522" spans="1:31" ht="12.5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  <c r="AA522" s="59"/>
      <c r="AB522" s="59"/>
      <c r="AC522" s="59"/>
      <c r="AD522" s="59"/>
      <c r="AE522" s="59"/>
    </row>
    <row r="523" spans="1:31" ht="12.5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  <c r="AA523" s="59"/>
      <c r="AB523" s="59"/>
      <c r="AC523" s="59"/>
      <c r="AD523" s="59"/>
      <c r="AE523" s="59"/>
    </row>
    <row r="524" spans="1:31" ht="12.5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  <c r="AA524" s="59"/>
      <c r="AB524" s="59"/>
      <c r="AC524" s="59"/>
      <c r="AD524" s="59"/>
      <c r="AE524" s="59"/>
    </row>
    <row r="525" spans="1:31" ht="12.5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  <c r="AA525" s="59"/>
      <c r="AB525" s="59"/>
      <c r="AC525" s="59"/>
      <c r="AD525" s="59"/>
      <c r="AE525" s="59"/>
    </row>
    <row r="526" spans="1:31" ht="12.5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  <c r="AA526" s="59"/>
      <c r="AB526" s="59"/>
      <c r="AC526" s="59"/>
      <c r="AD526" s="59"/>
      <c r="AE526" s="59"/>
    </row>
    <row r="527" spans="1:31" ht="12.5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  <c r="AA527" s="59"/>
      <c r="AB527" s="59"/>
      <c r="AC527" s="59"/>
      <c r="AD527" s="59"/>
      <c r="AE527" s="59"/>
    </row>
    <row r="528" spans="1:31" ht="12.5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  <c r="AA528" s="59"/>
      <c r="AB528" s="59"/>
      <c r="AC528" s="59"/>
      <c r="AD528" s="59"/>
      <c r="AE528" s="59"/>
    </row>
    <row r="529" spans="1:31" ht="12.5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  <c r="AA529" s="59"/>
      <c r="AB529" s="59"/>
      <c r="AC529" s="59"/>
      <c r="AD529" s="59"/>
      <c r="AE529" s="59"/>
    </row>
    <row r="530" spans="1:31" ht="12.5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  <c r="AA530" s="59"/>
      <c r="AB530" s="59"/>
      <c r="AC530" s="59"/>
      <c r="AD530" s="59"/>
      <c r="AE530" s="59"/>
    </row>
    <row r="531" spans="1:31" ht="12.5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  <c r="AA531" s="59"/>
      <c r="AB531" s="59"/>
      <c r="AC531" s="59"/>
      <c r="AD531" s="59"/>
      <c r="AE531" s="59"/>
    </row>
    <row r="532" spans="1:31" ht="12.5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  <c r="AA532" s="59"/>
      <c r="AB532" s="59"/>
      <c r="AC532" s="59"/>
      <c r="AD532" s="59"/>
      <c r="AE532" s="59"/>
    </row>
    <row r="533" spans="1:31" ht="12.5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  <c r="AA533" s="59"/>
      <c r="AB533" s="59"/>
      <c r="AC533" s="59"/>
      <c r="AD533" s="59"/>
      <c r="AE533" s="59"/>
    </row>
    <row r="534" spans="1:31" ht="12.5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  <c r="AA534" s="59"/>
      <c r="AB534" s="59"/>
      <c r="AC534" s="59"/>
      <c r="AD534" s="59"/>
      <c r="AE534" s="59"/>
    </row>
    <row r="535" spans="1:31" ht="12.5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  <c r="AA535" s="59"/>
      <c r="AB535" s="59"/>
      <c r="AC535" s="59"/>
      <c r="AD535" s="59"/>
      <c r="AE535" s="59"/>
    </row>
    <row r="536" spans="1:31" ht="12.5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  <c r="AA536" s="59"/>
      <c r="AB536" s="59"/>
      <c r="AC536" s="59"/>
      <c r="AD536" s="59"/>
      <c r="AE536" s="59"/>
    </row>
    <row r="537" spans="1:31" ht="12.5">
      <c r="A537" s="59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  <c r="AA537" s="59"/>
      <c r="AB537" s="59"/>
      <c r="AC537" s="59"/>
      <c r="AD537" s="59"/>
      <c r="AE537" s="59"/>
    </row>
    <row r="538" spans="1:31" ht="12.5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  <c r="AA538" s="59"/>
      <c r="AB538" s="59"/>
      <c r="AC538" s="59"/>
      <c r="AD538" s="59"/>
      <c r="AE538" s="59"/>
    </row>
    <row r="539" spans="1:31" ht="12.5">
      <c r="A539" s="59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  <c r="AA539" s="59"/>
      <c r="AB539" s="59"/>
      <c r="AC539" s="59"/>
      <c r="AD539" s="59"/>
      <c r="AE539" s="59"/>
    </row>
    <row r="540" spans="1:31" ht="12.5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  <c r="AA540" s="59"/>
      <c r="AB540" s="59"/>
      <c r="AC540" s="59"/>
      <c r="AD540" s="59"/>
      <c r="AE540" s="59"/>
    </row>
    <row r="541" spans="1:31" ht="12.5">
      <c r="A541" s="59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  <c r="AA541" s="59"/>
      <c r="AB541" s="59"/>
      <c r="AC541" s="59"/>
      <c r="AD541" s="59"/>
      <c r="AE541" s="59"/>
    </row>
    <row r="542" spans="1:31" ht="12.5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  <c r="AA542" s="59"/>
      <c r="AB542" s="59"/>
      <c r="AC542" s="59"/>
      <c r="AD542" s="59"/>
      <c r="AE542" s="59"/>
    </row>
    <row r="543" spans="1:31" ht="12.5">
      <c r="A543" s="59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  <c r="AA543" s="59"/>
      <c r="AB543" s="59"/>
      <c r="AC543" s="59"/>
      <c r="AD543" s="59"/>
      <c r="AE543" s="59"/>
    </row>
    <row r="544" spans="1:31" ht="12.5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  <c r="AA544" s="59"/>
      <c r="AB544" s="59"/>
      <c r="AC544" s="59"/>
      <c r="AD544" s="59"/>
      <c r="AE544" s="59"/>
    </row>
    <row r="545" spans="1:31" ht="12.5">
      <c r="A545" s="59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  <c r="AA545" s="59"/>
      <c r="AB545" s="59"/>
      <c r="AC545" s="59"/>
      <c r="AD545" s="59"/>
      <c r="AE545" s="59"/>
    </row>
    <row r="546" spans="1:31" ht="12.5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  <c r="AA546" s="59"/>
      <c r="AB546" s="59"/>
      <c r="AC546" s="59"/>
      <c r="AD546" s="59"/>
      <c r="AE546" s="59"/>
    </row>
    <row r="547" spans="1:31" ht="12.5">
      <c r="A547" s="59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  <c r="AA547" s="59"/>
      <c r="AB547" s="59"/>
      <c r="AC547" s="59"/>
      <c r="AD547" s="59"/>
      <c r="AE547" s="59"/>
    </row>
    <row r="548" spans="1:31" ht="12.5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  <c r="AA548" s="59"/>
      <c r="AB548" s="59"/>
      <c r="AC548" s="59"/>
      <c r="AD548" s="59"/>
      <c r="AE548" s="59"/>
    </row>
    <row r="549" spans="1:31" ht="12.5">
      <c r="A549" s="59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  <c r="AA549" s="59"/>
      <c r="AB549" s="59"/>
      <c r="AC549" s="59"/>
      <c r="AD549" s="59"/>
      <c r="AE549" s="59"/>
    </row>
    <row r="550" spans="1:31" ht="12.5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  <c r="AA550" s="59"/>
      <c r="AB550" s="59"/>
      <c r="AC550" s="59"/>
      <c r="AD550" s="59"/>
      <c r="AE550" s="59"/>
    </row>
    <row r="551" spans="1:31" ht="12.5">
      <c r="A551" s="59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  <c r="AA551" s="59"/>
      <c r="AB551" s="59"/>
      <c r="AC551" s="59"/>
      <c r="AD551" s="59"/>
      <c r="AE551" s="59"/>
    </row>
    <row r="552" spans="1:31" ht="12.5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  <c r="AA552" s="59"/>
      <c r="AB552" s="59"/>
      <c r="AC552" s="59"/>
      <c r="AD552" s="59"/>
      <c r="AE552" s="59"/>
    </row>
    <row r="553" spans="1:31" ht="12.5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  <c r="AA553" s="59"/>
      <c r="AB553" s="59"/>
      <c r="AC553" s="59"/>
      <c r="AD553" s="59"/>
      <c r="AE553" s="59"/>
    </row>
    <row r="554" spans="1:31" ht="12.5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  <c r="AA554" s="59"/>
      <c r="AB554" s="59"/>
      <c r="AC554" s="59"/>
      <c r="AD554" s="59"/>
      <c r="AE554" s="59"/>
    </row>
    <row r="555" spans="1:31" ht="12.5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  <c r="AA555" s="59"/>
      <c r="AB555" s="59"/>
      <c r="AC555" s="59"/>
      <c r="AD555" s="59"/>
      <c r="AE555" s="59"/>
    </row>
    <row r="556" spans="1:31" ht="12.5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  <c r="AA556" s="59"/>
      <c r="AB556" s="59"/>
      <c r="AC556" s="59"/>
      <c r="AD556" s="59"/>
      <c r="AE556" s="59"/>
    </row>
    <row r="557" spans="1:31" ht="12.5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  <c r="AA557" s="59"/>
      <c r="AB557" s="59"/>
      <c r="AC557" s="59"/>
      <c r="AD557" s="59"/>
      <c r="AE557" s="59"/>
    </row>
    <row r="558" spans="1:31" ht="12.5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  <c r="AA558" s="59"/>
      <c r="AB558" s="59"/>
      <c r="AC558" s="59"/>
      <c r="AD558" s="59"/>
      <c r="AE558" s="59"/>
    </row>
    <row r="559" spans="1:31" ht="12.5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  <c r="AA559" s="59"/>
      <c r="AB559" s="59"/>
      <c r="AC559" s="59"/>
      <c r="AD559" s="59"/>
      <c r="AE559" s="59"/>
    </row>
    <row r="560" spans="1:31" ht="12.5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  <c r="AA560" s="59"/>
      <c r="AB560" s="59"/>
      <c r="AC560" s="59"/>
      <c r="AD560" s="59"/>
      <c r="AE560" s="59"/>
    </row>
    <row r="561" spans="1:31" ht="12.5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  <c r="AA561" s="59"/>
      <c r="AB561" s="59"/>
      <c r="AC561" s="59"/>
      <c r="AD561" s="59"/>
      <c r="AE561" s="59"/>
    </row>
    <row r="562" spans="1:31" ht="12.5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  <c r="AA562" s="59"/>
      <c r="AB562" s="59"/>
      <c r="AC562" s="59"/>
      <c r="AD562" s="59"/>
      <c r="AE562" s="59"/>
    </row>
    <row r="563" spans="1:31" ht="12.5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  <c r="AA563" s="59"/>
      <c r="AB563" s="59"/>
      <c r="AC563" s="59"/>
      <c r="AD563" s="59"/>
      <c r="AE563" s="59"/>
    </row>
    <row r="564" spans="1:31" ht="12.5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  <c r="AA564" s="59"/>
      <c r="AB564" s="59"/>
      <c r="AC564" s="59"/>
      <c r="AD564" s="59"/>
      <c r="AE564" s="59"/>
    </row>
    <row r="565" spans="1:31" ht="12.5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  <c r="AA565" s="59"/>
      <c r="AB565" s="59"/>
      <c r="AC565" s="59"/>
      <c r="AD565" s="59"/>
      <c r="AE565" s="59"/>
    </row>
    <row r="566" spans="1:31" ht="12.5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  <c r="AA566" s="59"/>
      <c r="AB566" s="59"/>
      <c r="AC566" s="59"/>
      <c r="AD566" s="59"/>
      <c r="AE566" s="59"/>
    </row>
    <row r="567" spans="1:31" ht="12.5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  <c r="AA567" s="59"/>
      <c r="AB567" s="59"/>
      <c r="AC567" s="59"/>
      <c r="AD567" s="59"/>
      <c r="AE567" s="59"/>
    </row>
    <row r="568" spans="1:31" ht="12.5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  <c r="AA568" s="59"/>
      <c r="AB568" s="59"/>
      <c r="AC568" s="59"/>
      <c r="AD568" s="59"/>
      <c r="AE568" s="59"/>
    </row>
    <row r="569" spans="1:31" ht="12.5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  <c r="AA569" s="59"/>
      <c r="AB569" s="59"/>
      <c r="AC569" s="59"/>
      <c r="AD569" s="59"/>
      <c r="AE569" s="59"/>
    </row>
    <row r="570" spans="1:31" ht="12.5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  <c r="AA570" s="59"/>
      <c r="AB570" s="59"/>
      <c r="AC570" s="59"/>
      <c r="AD570" s="59"/>
      <c r="AE570" s="59"/>
    </row>
    <row r="571" spans="1:31" ht="12.5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  <c r="AA571" s="59"/>
      <c r="AB571" s="59"/>
      <c r="AC571" s="59"/>
      <c r="AD571" s="59"/>
      <c r="AE571" s="59"/>
    </row>
    <row r="572" spans="1:31" ht="12.5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  <c r="AA572" s="59"/>
      <c r="AB572" s="59"/>
      <c r="AC572" s="59"/>
      <c r="AD572" s="59"/>
      <c r="AE572" s="59"/>
    </row>
    <row r="573" spans="1:31" ht="12.5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  <c r="AA573" s="59"/>
      <c r="AB573" s="59"/>
      <c r="AC573" s="59"/>
      <c r="AD573" s="59"/>
      <c r="AE573" s="59"/>
    </row>
    <row r="574" spans="1:31" ht="12.5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  <c r="AA574" s="59"/>
      <c r="AB574" s="59"/>
      <c r="AC574" s="59"/>
      <c r="AD574" s="59"/>
      <c r="AE574" s="59"/>
    </row>
    <row r="575" spans="1:31" ht="12.5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  <c r="AA575" s="59"/>
      <c r="AB575" s="59"/>
      <c r="AC575" s="59"/>
      <c r="AD575" s="59"/>
      <c r="AE575" s="59"/>
    </row>
    <row r="576" spans="1:31" ht="12.5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  <c r="AA576" s="59"/>
      <c r="AB576" s="59"/>
      <c r="AC576" s="59"/>
      <c r="AD576" s="59"/>
      <c r="AE576" s="59"/>
    </row>
    <row r="577" spans="1:31" ht="12.5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  <c r="AA577" s="59"/>
      <c r="AB577" s="59"/>
      <c r="AC577" s="59"/>
      <c r="AD577" s="59"/>
      <c r="AE577" s="59"/>
    </row>
    <row r="578" spans="1:31" ht="12.5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  <c r="AA578" s="59"/>
      <c r="AB578" s="59"/>
      <c r="AC578" s="59"/>
      <c r="AD578" s="59"/>
      <c r="AE578" s="59"/>
    </row>
    <row r="579" spans="1:31" ht="12.5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  <c r="AA579" s="59"/>
      <c r="AB579" s="59"/>
      <c r="AC579" s="59"/>
      <c r="AD579" s="59"/>
      <c r="AE579" s="59"/>
    </row>
    <row r="580" spans="1:31" ht="12.5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  <c r="AA580" s="59"/>
      <c r="AB580" s="59"/>
      <c r="AC580" s="59"/>
      <c r="AD580" s="59"/>
      <c r="AE580" s="59"/>
    </row>
    <row r="581" spans="1:31" ht="12.5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  <c r="AA581" s="59"/>
      <c r="AB581" s="59"/>
      <c r="AC581" s="59"/>
      <c r="AD581" s="59"/>
      <c r="AE581" s="59"/>
    </row>
    <row r="582" spans="1:31" ht="12.5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  <c r="AA582" s="59"/>
      <c r="AB582" s="59"/>
      <c r="AC582" s="59"/>
      <c r="AD582" s="59"/>
      <c r="AE582" s="59"/>
    </row>
    <row r="583" spans="1:31" ht="12.5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  <c r="AA583" s="59"/>
      <c r="AB583" s="59"/>
      <c r="AC583" s="59"/>
      <c r="AD583" s="59"/>
      <c r="AE583" s="59"/>
    </row>
    <row r="584" spans="1:31" ht="12.5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  <c r="AA584" s="59"/>
      <c r="AB584" s="59"/>
      <c r="AC584" s="59"/>
      <c r="AD584" s="59"/>
      <c r="AE584" s="59"/>
    </row>
    <row r="585" spans="1:31" ht="12.5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  <c r="AA585" s="59"/>
      <c r="AB585" s="59"/>
      <c r="AC585" s="59"/>
      <c r="AD585" s="59"/>
      <c r="AE585" s="59"/>
    </row>
    <row r="586" spans="1:31" ht="12.5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  <c r="AA586" s="59"/>
      <c r="AB586" s="59"/>
      <c r="AC586" s="59"/>
      <c r="AD586" s="59"/>
      <c r="AE586" s="59"/>
    </row>
    <row r="587" spans="1:31" ht="12.5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  <c r="AA587" s="59"/>
      <c r="AB587" s="59"/>
      <c r="AC587" s="59"/>
      <c r="AD587" s="59"/>
      <c r="AE587" s="59"/>
    </row>
    <row r="588" spans="1:31" ht="12.5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  <c r="AA588" s="59"/>
      <c r="AB588" s="59"/>
      <c r="AC588" s="59"/>
      <c r="AD588" s="59"/>
      <c r="AE588" s="59"/>
    </row>
    <row r="589" spans="1:31" ht="12.5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  <c r="AA589" s="59"/>
      <c r="AB589" s="59"/>
      <c r="AC589" s="59"/>
      <c r="AD589" s="59"/>
      <c r="AE589" s="59"/>
    </row>
    <row r="590" spans="1:31" ht="12.5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  <c r="AA590" s="59"/>
      <c r="AB590" s="59"/>
      <c r="AC590" s="59"/>
      <c r="AD590" s="59"/>
      <c r="AE590" s="59"/>
    </row>
    <row r="591" spans="1:31" ht="12.5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  <c r="AA591" s="59"/>
      <c r="AB591" s="59"/>
      <c r="AC591" s="59"/>
      <c r="AD591" s="59"/>
      <c r="AE591" s="59"/>
    </row>
    <row r="592" spans="1:31" ht="12.5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  <c r="AA592" s="59"/>
      <c r="AB592" s="59"/>
      <c r="AC592" s="59"/>
      <c r="AD592" s="59"/>
      <c r="AE592" s="59"/>
    </row>
    <row r="593" spans="1:31" ht="12.5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  <c r="AA593" s="59"/>
      <c r="AB593" s="59"/>
      <c r="AC593" s="59"/>
      <c r="AD593" s="59"/>
      <c r="AE593" s="59"/>
    </row>
    <row r="594" spans="1:31" ht="12.5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  <c r="AA594" s="59"/>
      <c r="AB594" s="59"/>
      <c r="AC594" s="59"/>
      <c r="AD594" s="59"/>
      <c r="AE594" s="59"/>
    </row>
    <row r="595" spans="1:31" ht="12.5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  <c r="AA595" s="59"/>
      <c r="AB595" s="59"/>
      <c r="AC595" s="59"/>
      <c r="AD595" s="59"/>
      <c r="AE595" s="59"/>
    </row>
    <row r="596" spans="1:31" ht="12.5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  <c r="AA596" s="59"/>
      <c r="AB596" s="59"/>
      <c r="AC596" s="59"/>
      <c r="AD596" s="59"/>
      <c r="AE596" s="59"/>
    </row>
    <row r="597" spans="1:31" ht="12.5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  <c r="AA597" s="59"/>
      <c r="AB597" s="59"/>
      <c r="AC597" s="59"/>
      <c r="AD597" s="59"/>
      <c r="AE597" s="59"/>
    </row>
    <row r="598" spans="1:31" ht="12.5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  <c r="AA598" s="59"/>
      <c r="AB598" s="59"/>
      <c r="AC598" s="59"/>
      <c r="AD598" s="59"/>
      <c r="AE598" s="59"/>
    </row>
    <row r="599" spans="1:31" ht="12.5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  <c r="AA599" s="59"/>
      <c r="AB599" s="59"/>
      <c r="AC599" s="59"/>
      <c r="AD599" s="59"/>
      <c r="AE599" s="59"/>
    </row>
    <row r="600" spans="1:31" ht="12.5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  <c r="AA600" s="59"/>
      <c r="AB600" s="59"/>
      <c r="AC600" s="59"/>
      <c r="AD600" s="59"/>
      <c r="AE600" s="59"/>
    </row>
    <row r="601" spans="1:31" ht="12.5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  <c r="AA601" s="59"/>
      <c r="AB601" s="59"/>
      <c r="AC601" s="59"/>
      <c r="AD601" s="59"/>
      <c r="AE601" s="59"/>
    </row>
    <row r="602" spans="1:31" ht="12.5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  <c r="AA602" s="59"/>
      <c r="AB602" s="59"/>
      <c r="AC602" s="59"/>
      <c r="AD602" s="59"/>
      <c r="AE602" s="59"/>
    </row>
    <row r="603" spans="1:31" ht="12.5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  <c r="AA603" s="59"/>
      <c r="AB603" s="59"/>
      <c r="AC603" s="59"/>
      <c r="AD603" s="59"/>
      <c r="AE603" s="59"/>
    </row>
    <row r="604" spans="1:31" ht="12.5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  <c r="AA604" s="59"/>
      <c r="AB604" s="59"/>
      <c r="AC604" s="59"/>
      <c r="AD604" s="59"/>
      <c r="AE604" s="59"/>
    </row>
    <row r="605" spans="1:31" ht="12.5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  <c r="AA605" s="59"/>
      <c r="AB605" s="59"/>
      <c r="AC605" s="59"/>
      <c r="AD605" s="59"/>
      <c r="AE605" s="59"/>
    </row>
    <row r="606" spans="1:31" ht="12.5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  <c r="AA606" s="59"/>
      <c r="AB606" s="59"/>
      <c r="AC606" s="59"/>
      <c r="AD606" s="59"/>
      <c r="AE606" s="59"/>
    </row>
    <row r="607" spans="1:31" ht="12.5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  <c r="AA607" s="59"/>
      <c r="AB607" s="59"/>
      <c r="AC607" s="59"/>
      <c r="AD607" s="59"/>
      <c r="AE607" s="59"/>
    </row>
    <row r="608" spans="1:31" ht="12.5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  <c r="AA608" s="59"/>
      <c r="AB608" s="59"/>
      <c r="AC608" s="59"/>
      <c r="AD608" s="59"/>
      <c r="AE608" s="59"/>
    </row>
    <row r="609" spans="1:31" ht="12.5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  <c r="AA609" s="59"/>
      <c r="AB609" s="59"/>
      <c r="AC609" s="59"/>
      <c r="AD609" s="59"/>
      <c r="AE609" s="59"/>
    </row>
    <row r="610" spans="1:31" ht="12.5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  <c r="AA610" s="59"/>
      <c r="AB610" s="59"/>
      <c r="AC610" s="59"/>
      <c r="AD610" s="59"/>
      <c r="AE610" s="59"/>
    </row>
    <row r="611" spans="1:31" ht="12.5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  <c r="AA611" s="59"/>
      <c r="AB611" s="59"/>
      <c r="AC611" s="59"/>
      <c r="AD611" s="59"/>
      <c r="AE611" s="59"/>
    </row>
    <row r="612" spans="1:31" ht="12.5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  <c r="AA612" s="59"/>
      <c r="AB612" s="59"/>
      <c r="AC612" s="59"/>
      <c r="AD612" s="59"/>
      <c r="AE612" s="59"/>
    </row>
    <row r="613" spans="1:31" ht="12.5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  <c r="AA613" s="59"/>
      <c r="AB613" s="59"/>
      <c r="AC613" s="59"/>
      <c r="AD613" s="59"/>
      <c r="AE613" s="59"/>
    </row>
    <row r="614" spans="1:31" ht="12.5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  <c r="AA614" s="59"/>
      <c r="AB614" s="59"/>
      <c r="AC614" s="59"/>
      <c r="AD614" s="59"/>
      <c r="AE614" s="59"/>
    </row>
    <row r="615" spans="1:31" ht="12.5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  <c r="AA615" s="59"/>
      <c r="AB615" s="59"/>
      <c r="AC615" s="59"/>
      <c r="AD615" s="59"/>
      <c r="AE615" s="59"/>
    </row>
    <row r="616" spans="1:31" ht="12.5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  <c r="AA616" s="59"/>
      <c r="AB616" s="59"/>
      <c r="AC616" s="59"/>
      <c r="AD616" s="59"/>
      <c r="AE616" s="59"/>
    </row>
    <row r="617" spans="1:31" ht="12.5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  <c r="AA617" s="59"/>
      <c r="AB617" s="59"/>
      <c r="AC617" s="59"/>
      <c r="AD617" s="59"/>
      <c r="AE617" s="59"/>
    </row>
    <row r="618" spans="1:31" ht="12.5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  <c r="AA618" s="59"/>
      <c r="AB618" s="59"/>
      <c r="AC618" s="59"/>
      <c r="AD618" s="59"/>
      <c r="AE618" s="59"/>
    </row>
    <row r="619" spans="1:31" ht="12.5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  <c r="AA619" s="59"/>
      <c r="AB619" s="59"/>
      <c r="AC619" s="59"/>
      <c r="AD619" s="59"/>
      <c r="AE619" s="59"/>
    </row>
    <row r="620" spans="1:31" ht="12.5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  <c r="AA620" s="59"/>
      <c r="AB620" s="59"/>
      <c r="AC620" s="59"/>
      <c r="AD620" s="59"/>
      <c r="AE620" s="59"/>
    </row>
    <row r="621" spans="1:31" ht="12.5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  <c r="AA621" s="59"/>
      <c r="AB621" s="59"/>
      <c r="AC621" s="59"/>
      <c r="AD621" s="59"/>
      <c r="AE621" s="59"/>
    </row>
    <row r="622" spans="1:31" ht="12.5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  <c r="AA622" s="59"/>
      <c r="AB622" s="59"/>
      <c r="AC622" s="59"/>
      <c r="AD622" s="59"/>
      <c r="AE622" s="59"/>
    </row>
    <row r="623" spans="1:31" ht="12.5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  <c r="AA623" s="59"/>
      <c r="AB623" s="59"/>
      <c r="AC623" s="59"/>
      <c r="AD623" s="59"/>
      <c r="AE623" s="59"/>
    </row>
    <row r="624" spans="1:31" ht="12.5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  <c r="AA624" s="59"/>
      <c r="AB624" s="59"/>
      <c r="AC624" s="59"/>
      <c r="AD624" s="59"/>
      <c r="AE624" s="59"/>
    </row>
    <row r="625" spans="1:31" ht="12.5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  <c r="AA625" s="59"/>
      <c r="AB625" s="59"/>
      <c r="AC625" s="59"/>
      <c r="AD625" s="59"/>
      <c r="AE625" s="59"/>
    </row>
    <row r="626" spans="1:31" ht="12.5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  <c r="AA626" s="59"/>
      <c r="AB626" s="59"/>
      <c r="AC626" s="59"/>
      <c r="AD626" s="59"/>
      <c r="AE626" s="59"/>
    </row>
    <row r="627" spans="1:31" ht="12.5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  <c r="AA627" s="59"/>
      <c r="AB627" s="59"/>
      <c r="AC627" s="59"/>
      <c r="AD627" s="59"/>
      <c r="AE627" s="59"/>
    </row>
    <row r="628" spans="1:31" ht="12.5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  <c r="AA628" s="59"/>
      <c r="AB628" s="59"/>
      <c r="AC628" s="59"/>
      <c r="AD628" s="59"/>
      <c r="AE628" s="59"/>
    </row>
    <row r="629" spans="1:31" ht="12.5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  <c r="AA629" s="59"/>
      <c r="AB629" s="59"/>
      <c r="AC629" s="59"/>
      <c r="AD629" s="59"/>
      <c r="AE629" s="59"/>
    </row>
    <row r="630" spans="1:31" ht="12.5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  <c r="AA630" s="59"/>
      <c r="AB630" s="59"/>
      <c r="AC630" s="59"/>
      <c r="AD630" s="59"/>
      <c r="AE630" s="59"/>
    </row>
    <row r="631" spans="1:31" ht="12.5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  <c r="AA631" s="59"/>
      <c r="AB631" s="59"/>
      <c r="AC631" s="59"/>
      <c r="AD631" s="59"/>
      <c r="AE631" s="59"/>
    </row>
    <row r="632" spans="1:31" ht="12.5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  <c r="AA632" s="59"/>
      <c r="AB632" s="59"/>
      <c r="AC632" s="59"/>
      <c r="AD632" s="59"/>
      <c r="AE632" s="59"/>
    </row>
    <row r="633" spans="1:31" ht="12.5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  <c r="AA633" s="59"/>
      <c r="AB633" s="59"/>
      <c r="AC633" s="59"/>
      <c r="AD633" s="59"/>
      <c r="AE633" s="59"/>
    </row>
    <row r="634" spans="1:31" ht="12.5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  <c r="AA634" s="59"/>
      <c r="AB634" s="59"/>
      <c r="AC634" s="59"/>
      <c r="AD634" s="59"/>
      <c r="AE634" s="59"/>
    </row>
    <row r="635" spans="1:31" ht="12.5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  <c r="AA635" s="59"/>
      <c r="AB635" s="59"/>
      <c r="AC635" s="59"/>
      <c r="AD635" s="59"/>
      <c r="AE635" s="59"/>
    </row>
    <row r="636" spans="1:31" ht="12.5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  <c r="AA636" s="59"/>
      <c r="AB636" s="59"/>
      <c r="AC636" s="59"/>
      <c r="AD636" s="59"/>
      <c r="AE636" s="59"/>
    </row>
    <row r="637" spans="1:31" ht="12.5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  <c r="AA637" s="59"/>
      <c r="AB637" s="59"/>
      <c r="AC637" s="59"/>
      <c r="AD637" s="59"/>
      <c r="AE637" s="59"/>
    </row>
    <row r="638" spans="1:31" ht="12.5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  <c r="AA638" s="59"/>
      <c r="AB638" s="59"/>
      <c r="AC638" s="59"/>
      <c r="AD638" s="59"/>
      <c r="AE638" s="59"/>
    </row>
    <row r="639" spans="1:31" ht="12.5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  <c r="AA639" s="59"/>
      <c r="AB639" s="59"/>
      <c r="AC639" s="59"/>
      <c r="AD639" s="59"/>
      <c r="AE639" s="59"/>
    </row>
    <row r="640" spans="1:31" ht="12.5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  <c r="AA640" s="59"/>
      <c r="AB640" s="59"/>
      <c r="AC640" s="59"/>
      <c r="AD640" s="59"/>
      <c r="AE640" s="59"/>
    </row>
    <row r="641" spans="1:31" ht="12.5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  <c r="AA641" s="59"/>
      <c r="AB641" s="59"/>
      <c r="AC641" s="59"/>
      <c r="AD641" s="59"/>
      <c r="AE641" s="59"/>
    </row>
    <row r="642" spans="1:31" ht="12.5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  <c r="AA642" s="59"/>
      <c r="AB642" s="59"/>
      <c r="AC642" s="59"/>
      <c r="AD642" s="59"/>
      <c r="AE642" s="59"/>
    </row>
    <row r="643" spans="1:31" ht="12.5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  <c r="AA643" s="59"/>
      <c r="AB643" s="59"/>
      <c r="AC643" s="59"/>
      <c r="AD643" s="59"/>
      <c r="AE643" s="59"/>
    </row>
    <row r="644" spans="1:31" ht="12.5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  <c r="AA644" s="59"/>
      <c r="AB644" s="59"/>
      <c r="AC644" s="59"/>
      <c r="AD644" s="59"/>
      <c r="AE644" s="59"/>
    </row>
    <row r="645" spans="1:31" ht="12.5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  <c r="AA645" s="59"/>
      <c r="AB645" s="59"/>
      <c r="AC645" s="59"/>
      <c r="AD645" s="59"/>
      <c r="AE645" s="59"/>
    </row>
    <row r="646" spans="1:31" ht="12.5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  <c r="AA646" s="59"/>
      <c r="AB646" s="59"/>
      <c r="AC646" s="59"/>
      <c r="AD646" s="59"/>
      <c r="AE646" s="59"/>
    </row>
    <row r="647" spans="1:31" ht="12.5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  <c r="AA647" s="59"/>
      <c r="AB647" s="59"/>
      <c r="AC647" s="59"/>
      <c r="AD647" s="59"/>
      <c r="AE647" s="59"/>
    </row>
    <row r="648" spans="1:31" ht="12.5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  <c r="AA648" s="59"/>
      <c r="AB648" s="59"/>
      <c r="AC648" s="59"/>
      <c r="AD648" s="59"/>
      <c r="AE648" s="59"/>
    </row>
    <row r="649" spans="1:31" ht="12.5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  <c r="AA649" s="59"/>
      <c r="AB649" s="59"/>
      <c r="AC649" s="59"/>
      <c r="AD649" s="59"/>
      <c r="AE649" s="59"/>
    </row>
    <row r="650" spans="1:31" ht="12.5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  <c r="AA650" s="59"/>
      <c r="AB650" s="59"/>
      <c r="AC650" s="59"/>
      <c r="AD650" s="59"/>
      <c r="AE650" s="59"/>
    </row>
    <row r="651" spans="1:31" ht="12.5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  <c r="AA651" s="59"/>
      <c r="AB651" s="59"/>
      <c r="AC651" s="59"/>
      <c r="AD651" s="59"/>
      <c r="AE651" s="59"/>
    </row>
    <row r="652" spans="1:31" ht="12.5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  <c r="AA652" s="59"/>
      <c r="AB652" s="59"/>
      <c r="AC652" s="59"/>
      <c r="AD652" s="59"/>
      <c r="AE652" s="59"/>
    </row>
    <row r="653" spans="1:31" ht="12.5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  <c r="AA653" s="59"/>
      <c r="AB653" s="59"/>
      <c r="AC653" s="59"/>
      <c r="AD653" s="59"/>
      <c r="AE653" s="59"/>
    </row>
    <row r="654" spans="1:31" ht="12.5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  <c r="AA654" s="59"/>
      <c r="AB654" s="59"/>
      <c r="AC654" s="59"/>
      <c r="AD654" s="59"/>
      <c r="AE654" s="59"/>
    </row>
    <row r="655" spans="1:31" ht="12.5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  <c r="AA655" s="59"/>
      <c r="AB655" s="59"/>
      <c r="AC655" s="59"/>
      <c r="AD655" s="59"/>
      <c r="AE655" s="59"/>
    </row>
    <row r="656" spans="1:31" ht="12.5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  <c r="AA656" s="59"/>
      <c r="AB656" s="59"/>
      <c r="AC656" s="59"/>
      <c r="AD656" s="59"/>
      <c r="AE656" s="59"/>
    </row>
    <row r="657" spans="1:31" ht="12.5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  <c r="AA657" s="59"/>
      <c r="AB657" s="59"/>
      <c r="AC657" s="59"/>
      <c r="AD657" s="59"/>
      <c r="AE657" s="59"/>
    </row>
    <row r="658" spans="1:31" ht="12.5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  <c r="AA658" s="59"/>
      <c r="AB658" s="59"/>
      <c r="AC658" s="59"/>
      <c r="AD658" s="59"/>
      <c r="AE658" s="59"/>
    </row>
    <row r="659" spans="1:31" ht="12.5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  <c r="AA659" s="59"/>
      <c r="AB659" s="59"/>
      <c r="AC659" s="59"/>
      <c r="AD659" s="59"/>
      <c r="AE659" s="59"/>
    </row>
    <row r="660" spans="1:31" ht="12.5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  <c r="AA660" s="59"/>
      <c r="AB660" s="59"/>
      <c r="AC660" s="59"/>
      <c r="AD660" s="59"/>
      <c r="AE660" s="59"/>
    </row>
    <row r="661" spans="1:31" ht="12.5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  <c r="AA661" s="59"/>
      <c r="AB661" s="59"/>
      <c r="AC661" s="59"/>
      <c r="AD661" s="59"/>
      <c r="AE661" s="59"/>
    </row>
    <row r="662" spans="1:31" ht="12.5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  <c r="AA662" s="59"/>
      <c r="AB662" s="59"/>
      <c r="AC662" s="59"/>
      <c r="AD662" s="59"/>
      <c r="AE662" s="59"/>
    </row>
    <row r="663" spans="1:31" ht="12.5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  <c r="AA663" s="59"/>
      <c r="AB663" s="59"/>
      <c r="AC663" s="59"/>
      <c r="AD663" s="59"/>
      <c r="AE663" s="59"/>
    </row>
    <row r="664" spans="1:31" ht="12.5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  <c r="AA664" s="59"/>
      <c r="AB664" s="59"/>
      <c r="AC664" s="59"/>
      <c r="AD664" s="59"/>
      <c r="AE664" s="59"/>
    </row>
    <row r="665" spans="1:31" ht="12.5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  <c r="AA665" s="59"/>
      <c r="AB665" s="59"/>
      <c r="AC665" s="59"/>
      <c r="AD665" s="59"/>
      <c r="AE665" s="59"/>
    </row>
    <row r="666" spans="1:31" ht="12.5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  <c r="AA666" s="59"/>
      <c r="AB666" s="59"/>
      <c r="AC666" s="59"/>
      <c r="AD666" s="59"/>
      <c r="AE666" s="59"/>
    </row>
    <row r="667" spans="1:31" ht="12.5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  <c r="AA667" s="59"/>
      <c r="AB667" s="59"/>
      <c r="AC667" s="59"/>
      <c r="AD667" s="59"/>
      <c r="AE667" s="59"/>
    </row>
    <row r="668" spans="1:31" ht="12.5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  <c r="AA668" s="59"/>
      <c r="AB668" s="59"/>
      <c r="AC668" s="59"/>
      <c r="AD668" s="59"/>
      <c r="AE668" s="59"/>
    </row>
    <row r="669" spans="1:31" ht="12.5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  <c r="AA669" s="59"/>
      <c r="AB669" s="59"/>
      <c r="AC669" s="59"/>
      <c r="AD669" s="59"/>
      <c r="AE669" s="59"/>
    </row>
    <row r="670" spans="1:31" ht="12.5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  <c r="AA670" s="59"/>
      <c r="AB670" s="59"/>
      <c r="AC670" s="59"/>
      <c r="AD670" s="59"/>
      <c r="AE670" s="59"/>
    </row>
    <row r="671" spans="1:31" ht="12.5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  <c r="AA671" s="59"/>
      <c r="AB671" s="59"/>
      <c r="AC671" s="59"/>
      <c r="AD671" s="59"/>
      <c r="AE671" s="59"/>
    </row>
    <row r="672" spans="1:31" ht="12.5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  <c r="AA672" s="59"/>
      <c r="AB672" s="59"/>
      <c r="AC672" s="59"/>
      <c r="AD672" s="59"/>
      <c r="AE672" s="59"/>
    </row>
    <row r="673" spans="1:31" ht="12.5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  <c r="AA673" s="59"/>
      <c r="AB673" s="59"/>
      <c r="AC673" s="59"/>
      <c r="AD673" s="59"/>
      <c r="AE673" s="59"/>
    </row>
    <row r="674" spans="1:31" ht="12.5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  <c r="AA674" s="59"/>
      <c r="AB674" s="59"/>
      <c r="AC674" s="59"/>
      <c r="AD674" s="59"/>
      <c r="AE674" s="59"/>
    </row>
    <row r="675" spans="1:31" ht="12.5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  <c r="AA675" s="59"/>
      <c r="AB675" s="59"/>
      <c r="AC675" s="59"/>
      <c r="AD675" s="59"/>
      <c r="AE675" s="59"/>
    </row>
    <row r="676" spans="1:31" ht="12.5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  <c r="AA676" s="59"/>
      <c r="AB676" s="59"/>
      <c r="AC676" s="59"/>
      <c r="AD676" s="59"/>
      <c r="AE676" s="59"/>
    </row>
    <row r="677" spans="1:31" ht="12.5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  <c r="AA677" s="59"/>
      <c r="AB677" s="59"/>
      <c r="AC677" s="59"/>
      <c r="AD677" s="59"/>
      <c r="AE677" s="59"/>
    </row>
    <row r="678" spans="1:31" ht="12.5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  <c r="AA678" s="59"/>
      <c r="AB678" s="59"/>
      <c r="AC678" s="59"/>
      <c r="AD678" s="59"/>
      <c r="AE678" s="59"/>
    </row>
    <row r="679" spans="1:31" ht="12.5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  <c r="AA679" s="59"/>
      <c r="AB679" s="59"/>
      <c r="AC679" s="59"/>
      <c r="AD679" s="59"/>
      <c r="AE679" s="59"/>
    </row>
    <row r="680" spans="1:31" ht="12.5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  <c r="AA680" s="59"/>
      <c r="AB680" s="59"/>
      <c r="AC680" s="59"/>
      <c r="AD680" s="59"/>
      <c r="AE680" s="59"/>
    </row>
    <row r="681" spans="1:31" ht="12.5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  <c r="AA681" s="59"/>
      <c r="AB681" s="59"/>
      <c r="AC681" s="59"/>
      <c r="AD681" s="59"/>
      <c r="AE681" s="59"/>
    </row>
    <row r="682" spans="1:31" ht="12.5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  <c r="AA682" s="59"/>
      <c r="AB682" s="59"/>
      <c r="AC682" s="59"/>
      <c r="AD682" s="59"/>
      <c r="AE682" s="59"/>
    </row>
    <row r="683" spans="1:31" ht="12.5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  <c r="AA683" s="59"/>
      <c r="AB683" s="59"/>
      <c r="AC683" s="59"/>
      <c r="AD683" s="59"/>
      <c r="AE683" s="59"/>
    </row>
    <row r="684" spans="1:31" ht="12.5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  <c r="AA684" s="59"/>
      <c r="AB684" s="59"/>
      <c r="AC684" s="59"/>
      <c r="AD684" s="59"/>
      <c r="AE684" s="59"/>
    </row>
    <row r="685" spans="1:31" ht="12.5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  <c r="AA685" s="59"/>
      <c r="AB685" s="59"/>
      <c r="AC685" s="59"/>
      <c r="AD685" s="59"/>
      <c r="AE685" s="59"/>
    </row>
    <row r="686" spans="1:31" ht="12.5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  <c r="AA686" s="59"/>
      <c r="AB686" s="59"/>
      <c r="AC686" s="59"/>
      <c r="AD686" s="59"/>
      <c r="AE686" s="59"/>
    </row>
    <row r="687" spans="1:31" ht="12.5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  <c r="AA687" s="59"/>
      <c r="AB687" s="59"/>
      <c r="AC687" s="59"/>
      <c r="AD687" s="59"/>
      <c r="AE687" s="59"/>
    </row>
    <row r="688" spans="1:31" ht="12.5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  <c r="AA688" s="59"/>
      <c r="AB688" s="59"/>
      <c r="AC688" s="59"/>
      <c r="AD688" s="59"/>
      <c r="AE688" s="59"/>
    </row>
    <row r="689" spans="1:31" ht="12.5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  <c r="AA689" s="59"/>
      <c r="AB689" s="59"/>
      <c r="AC689" s="59"/>
      <c r="AD689" s="59"/>
      <c r="AE689" s="59"/>
    </row>
    <row r="690" spans="1:31" ht="12.5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  <c r="AA690" s="59"/>
      <c r="AB690" s="59"/>
      <c r="AC690" s="59"/>
      <c r="AD690" s="59"/>
      <c r="AE690" s="59"/>
    </row>
    <row r="691" spans="1:31" ht="12.5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  <c r="AA691" s="59"/>
      <c r="AB691" s="59"/>
      <c r="AC691" s="59"/>
      <c r="AD691" s="59"/>
      <c r="AE691" s="59"/>
    </row>
    <row r="692" spans="1:31" ht="12.5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  <c r="AA692" s="59"/>
      <c r="AB692" s="59"/>
      <c r="AC692" s="59"/>
      <c r="AD692" s="59"/>
      <c r="AE692" s="59"/>
    </row>
    <row r="693" spans="1:31" ht="12.5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  <c r="AA693" s="59"/>
      <c r="AB693" s="59"/>
      <c r="AC693" s="59"/>
      <c r="AD693" s="59"/>
      <c r="AE693" s="59"/>
    </row>
    <row r="694" spans="1:31" ht="12.5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  <c r="AA694" s="59"/>
      <c r="AB694" s="59"/>
      <c r="AC694" s="59"/>
      <c r="AD694" s="59"/>
      <c r="AE694" s="59"/>
    </row>
    <row r="695" spans="1:31" ht="12.5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  <c r="AA695" s="59"/>
      <c r="AB695" s="59"/>
      <c r="AC695" s="59"/>
      <c r="AD695" s="59"/>
      <c r="AE695" s="59"/>
    </row>
    <row r="696" spans="1:31" ht="12.5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  <c r="AA696" s="59"/>
      <c r="AB696" s="59"/>
      <c r="AC696" s="59"/>
      <c r="AD696" s="59"/>
      <c r="AE696" s="59"/>
    </row>
    <row r="697" spans="1:31" ht="12.5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  <c r="AA697" s="59"/>
      <c r="AB697" s="59"/>
      <c r="AC697" s="59"/>
      <c r="AD697" s="59"/>
      <c r="AE697" s="59"/>
    </row>
    <row r="698" spans="1:31" ht="12.5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  <c r="AA698" s="59"/>
      <c r="AB698" s="59"/>
      <c r="AC698" s="59"/>
      <c r="AD698" s="59"/>
      <c r="AE698" s="59"/>
    </row>
    <row r="699" spans="1:31" ht="12.5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  <c r="AA699" s="59"/>
      <c r="AB699" s="59"/>
      <c r="AC699" s="59"/>
      <c r="AD699" s="59"/>
      <c r="AE699" s="59"/>
    </row>
    <row r="700" spans="1:31" ht="12.5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  <c r="AA700" s="59"/>
      <c r="AB700" s="59"/>
      <c r="AC700" s="59"/>
      <c r="AD700" s="59"/>
      <c r="AE700" s="59"/>
    </row>
    <row r="701" spans="1:31" ht="12.5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  <c r="AA701" s="59"/>
      <c r="AB701" s="59"/>
      <c r="AC701" s="59"/>
      <c r="AD701" s="59"/>
      <c r="AE701" s="59"/>
    </row>
    <row r="702" spans="1:31" ht="12.5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  <c r="AA702" s="59"/>
      <c r="AB702" s="59"/>
      <c r="AC702" s="59"/>
      <c r="AD702" s="59"/>
      <c r="AE702" s="59"/>
    </row>
    <row r="703" spans="1:31" ht="12.5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  <c r="AA703" s="59"/>
      <c r="AB703" s="59"/>
      <c r="AC703" s="59"/>
      <c r="AD703" s="59"/>
      <c r="AE703" s="59"/>
    </row>
    <row r="704" spans="1:31" ht="12.5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  <c r="AA704" s="59"/>
      <c r="AB704" s="59"/>
      <c r="AC704" s="59"/>
      <c r="AD704" s="59"/>
      <c r="AE704" s="59"/>
    </row>
    <row r="705" spans="1:31" ht="12.5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  <c r="AA705" s="59"/>
      <c r="AB705" s="59"/>
      <c r="AC705" s="59"/>
      <c r="AD705" s="59"/>
      <c r="AE705" s="59"/>
    </row>
    <row r="706" spans="1:31" ht="12.5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  <c r="AA706" s="59"/>
      <c r="AB706" s="59"/>
      <c r="AC706" s="59"/>
      <c r="AD706" s="59"/>
      <c r="AE706" s="59"/>
    </row>
    <row r="707" spans="1:31" ht="12.5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  <c r="AA707" s="59"/>
      <c r="AB707" s="59"/>
      <c r="AC707" s="59"/>
      <c r="AD707" s="59"/>
      <c r="AE707" s="59"/>
    </row>
    <row r="708" spans="1:31" ht="12.5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  <c r="AA708" s="59"/>
      <c r="AB708" s="59"/>
      <c r="AC708" s="59"/>
      <c r="AD708" s="59"/>
      <c r="AE708" s="59"/>
    </row>
    <row r="709" spans="1:31" ht="12.5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  <c r="AA709" s="59"/>
      <c r="AB709" s="59"/>
      <c r="AC709" s="59"/>
      <c r="AD709" s="59"/>
      <c r="AE709" s="59"/>
    </row>
    <row r="710" spans="1:31" ht="12.5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  <c r="AA710" s="59"/>
      <c r="AB710" s="59"/>
      <c r="AC710" s="59"/>
      <c r="AD710" s="59"/>
      <c r="AE710" s="59"/>
    </row>
    <row r="711" spans="1:31" ht="12.5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  <c r="AA711" s="59"/>
      <c r="AB711" s="59"/>
      <c r="AC711" s="59"/>
      <c r="AD711" s="59"/>
      <c r="AE711" s="59"/>
    </row>
    <row r="712" spans="1:31" ht="12.5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  <c r="AA712" s="59"/>
      <c r="AB712" s="59"/>
      <c r="AC712" s="59"/>
      <c r="AD712" s="59"/>
      <c r="AE712" s="59"/>
    </row>
    <row r="713" spans="1:31" ht="12.5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  <c r="AA713" s="59"/>
      <c r="AB713" s="59"/>
      <c r="AC713" s="59"/>
      <c r="AD713" s="59"/>
      <c r="AE713" s="59"/>
    </row>
    <row r="714" spans="1:31" ht="12.5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  <c r="AA714" s="59"/>
      <c r="AB714" s="59"/>
      <c r="AC714" s="59"/>
      <c r="AD714" s="59"/>
      <c r="AE714" s="59"/>
    </row>
    <row r="715" spans="1:31" ht="12.5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  <c r="AA715" s="59"/>
      <c r="AB715" s="59"/>
      <c r="AC715" s="59"/>
      <c r="AD715" s="59"/>
      <c r="AE715" s="59"/>
    </row>
    <row r="716" spans="1:31" ht="12.5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  <c r="AA716" s="59"/>
      <c r="AB716" s="59"/>
      <c r="AC716" s="59"/>
      <c r="AD716" s="59"/>
      <c r="AE716" s="59"/>
    </row>
    <row r="717" spans="1:31" ht="12.5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  <c r="AA717" s="59"/>
      <c r="AB717" s="59"/>
      <c r="AC717" s="59"/>
      <c r="AD717" s="59"/>
      <c r="AE717" s="59"/>
    </row>
    <row r="718" spans="1:31" ht="12.5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  <c r="AA718" s="59"/>
      <c r="AB718" s="59"/>
      <c r="AC718" s="59"/>
      <c r="AD718" s="59"/>
      <c r="AE718" s="59"/>
    </row>
    <row r="719" spans="1:31" ht="12.5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  <c r="AA719" s="59"/>
      <c r="AB719" s="59"/>
      <c r="AC719" s="59"/>
      <c r="AD719" s="59"/>
      <c r="AE719" s="59"/>
    </row>
    <row r="720" spans="1:31" ht="12.5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  <c r="AA720" s="59"/>
      <c r="AB720" s="59"/>
      <c r="AC720" s="59"/>
      <c r="AD720" s="59"/>
      <c r="AE720" s="59"/>
    </row>
    <row r="721" spans="1:31" ht="12.5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  <c r="AA721" s="59"/>
      <c r="AB721" s="59"/>
      <c r="AC721" s="59"/>
      <c r="AD721" s="59"/>
      <c r="AE721" s="59"/>
    </row>
    <row r="722" spans="1:31" ht="12.5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  <c r="AA722" s="59"/>
      <c r="AB722" s="59"/>
      <c r="AC722" s="59"/>
      <c r="AD722" s="59"/>
      <c r="AE722" s="59"/>
    </row>
    <row r="723" spans="1:31" ht="12.5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  <c r="AA723" s="59"/>
      <c r="AB723" s="59"/>
      <c r="AC723" s="59"/>
      <c r="AD723" s="59"/>
      <c r="AE723" s="59"/>
    </row>
    <row r="724" spans="1:31" ht="12.5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  <c r="AA724" s="59"/>
      <c r="AB724" s="59"/>
      <c r="AC724" s="59"/>
      <c r="AD724" s="59"/>
      <c r="AE724" s="59"/>
    </row>
    <row r="725" spans="1:31" ht="12.5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  <c r="AA725" s="59"/>
      <c r="AB725" s="59"/>
      <c r="AC725" s="59"/>
      <c r="AD725" s="59"/>
      <c r="AE725" s="59"/>
    </row>
    <row r="726" spans="1:31" ht="12.5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  <c r="AA726" s="59"/>
      <c r="AB726" s="59"/>
      <c r="AC726" s="59"/>
      <c r="AD726" s="59"/>
      <c r="AE726" s="59"/>
    </row>
    <row r="727" spans="1:31" ht="12.5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  <c r="AA727" s="59"/>
      <c r="AB727" s="59"/>
      <c r="AC727" s="59"/>
      <c r="AD727" s="59"/>
      <c r="AE727" s="59"/>
    </row>
    <row r="728" spans="1:31" ht="12.5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  <c r="AA728" s="59"/>
      <c r="AB728" s="59"/>
      <c r="AC728" s="59"/>
      <c r="AD728" s="59"/>
      <c r="AE728" s="59"/>
    </row>
    <row r="729" spans="1:31" ht="12.5">
      <c r="A729" s="59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  <c r="AA729" s="59"/>
      <c r="AB729" s="59"/>
      <c r="AC729" s="59"/>
      <c r="AD729" s="59"/>
      <c r="AE729" s="59"/>
    </row>
    <row r="730" spans="1:31" ht="12.5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  <c r="AA730" s="59"/>
      <c r="AB730" s="59"/>
      <c r="AC730" s="59"/>
      <c r="AD730" s="59"/>
      <c r="AE730" s="59"/>
    </row>
    <row r="731" spans="1:31" ht="12.5">
      <c r="A731" s="59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  <c r="AA731" s="59"/>
      <c r="AB731" s="59"/>
      <c r="AC731" s="59"/>
      <c r="AD731" s="59"/>
      <c r="AE731" s="59"/>
    </row>
    <row r="732" spans="1:31" ht="12.5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  <c r="AA732" s="59"/>
      <c r="AB732" s="59"/>
      <c r="AC732" s="59"/>
      <c r="AD732" s="59"/>
      <c r="AE732" s="59"/>
    </row>
    <row r="733" spans="1:31" ht="12.5">
      <c r="A733" s="59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  <c r="AA733" s="59"/>
      <c r="AB733" s="59"/>
      <c r="AC733" s="59"/>
      <c r="AD733" s="59"/>
      <c r="AE733" s="59"/>
    </row>
    <row r="734" spans="1:31" ht="12.5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  <c r="AA734" s="59"/>
      <c r="AB734" s="59"/>
      <c r="AC734" s="59"/>
      <c r="AD734" s="59"/>
      <c r="AE734" s="59"/>
    </row>
    <row r="735" spans="1:31" ht="12.5">
      <c r="A735" s="59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  <c r="AA735" s="59"/>
      <c r="AB735" s="59"/>
      <c r="AC735" s="59"/>
      <c r="AD735" s="59"/>
      <c r="AE735" s="59"/>
    </row>
    <row r="736" spans="1:31" ht="12.5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  <c r="AA736" s="59"/>
      <c r="AB736" s="59"/>
      <c r="AC736" s="59"/>
      <c r="AD736" s="59"/>
      <c r="AE736" s="59"/>
    </row>
    <row r="737" spans="1:31" ht="12.5">
      <c r="A737" s="59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  <c r="AA737" s="59"/>
      <c r="AB737" s="59"/>
      <c r="AC737" s="59"/>
      <c r="AD737" s="59"/>
      <c r="AE737" s="59"/>
    </row>
    <row r="738" spans="1:31" ht="12.5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  <c r="AA738" s="59"/>
      <c r="AB738" s="59"/>
      <c r="AC738" s="59"/>
      <c r="AD738" s="59"/>
      <c r="AE738" s="59"/>
    </row>
    <row r="739" spans="1:31" ht="12.5">
      <c r="A739" s="59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  <c r="AA739" s="59"/>
      <c r="AB739" s="59"/>
      <c r="AC739" s="59"/>
      <c r="AD739" s="59"/>
      <c r="AE739" s="59"/>
    </row>
    <row r="740" spans="1:31" ht="12.5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  <c r="AA740" s="59"/>
      <c r="AB740" s="59"/>
      <c r="AC740" s="59"/>
      <c r="AD740" s="59"/>
      <c r="AE740" s="59"/>
    </row>
    <row r="741" spans="1:31" ht="12.5">
      <c r="A741" s="59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  <c r="AA741" s="59"/>
      <c r="AB741" s="59"/>
      <c r="AC741" s="59"/>
      <c r="AD741" s="59"/>
      <c r="AE741" s="59"/>
    </row>
    <row r="742" spans="1:31" ht="12.5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  <c r="AA742" s="59"/>
      <c r="AB742" s="59"/>
      <c r="AC742" s="59"/>
      <c r="AD742" s="59"/>
      <c r="AE742" s="59"/>
    </row>
    <row r="743" spans="1:31" ht="12.5">
      <c r="A743" s="59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  <c r="AA743" s="59"/>
      <c r="AB743" s="59"/>
      <c r="AC743" s="59"/>
      <c r="AD743" s="59"/>
      <c r="AE743" s="59"/>
    </row>
    <row r="744" spans="1:31" ht="12.5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  <c r="AA744" s="59"/>
      <c r="AB744" s="59"/>
      <c r="AC744" s="59"/>
      <c r="AD744" s="59"/>
      <c r="AE744" s="59"/>
    </row>
    <row r="745" spans="1:31" ht="12.5">
      <c r="A745" s="59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  <c r="AA745" s="59"/>
      <c r="AB745" s="59"/>
      <c r="AC745" s="59"/>
      <c r="AD745" s="59"/>
      <c r="AE745" s="59"/>
    </row>
    <row r="746" spans="1:31" ht="12.5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  <c r="AA746" s="59"/>
      <c r="AB746" s="59"/>
      <c r="AC746" s="59"/>
      <c r="AD746" s="59"/>
      <c r="AE746" s="59"/>
    </row>
    <row r="747" spans="1:31" ht="12.5">
      <c r="A747" s="59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  <c r="AA747" s="59"/>
      <c r="AB747" s="59"/>
      <c r="AC747" s="59"/>
      <c r="AD747" s="59"/>
      <c r="AE747" s="59"/>
    </row>
    <row r="748" spans="1:31" ht="12.5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  <c r="AA748" s="59"/>
      <c r="AB748" s="59"/>
      <c r="AC748" s="59"/>
      <c r="AD748" s="59"/>
      <c r="AE748" s="59"/>
    </row>
    <row r="749" spans="1:31" ht="12.5">
      <c r="A749" s="59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  <c r="AA749" s="59"/>
      <c r="AB749" s="59"/>
      <c r="AC749" s="59"/>
      <c r="AD749" s="59"/>
      <c r="AE749" s="59"/>
    </row>
    <row r="750" spans="1:31" ht="12.5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  <c r="AA750" s="59"/>
      <c r="AB750" s="59"/>
      <c r="AC750" s="59"/>
      <c r="AD750" s="59"/>
      <c r="AE750" s="59"/>
    </row>
    <row r="751" spans="1:31" ht="12.5">
      <c r="A751" s="59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  <c r="AA751" s="59"/>
      <c r="AB751" s="59"/>
      <c r="AC751" s="59"/>
      <c r="AD751" s="59"/>
      <c r="AE751" s="59"/>
    </row>
    <row r="752" spans="1:31" ht="12.5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  <c r="AA752" s="59"/>
      <c r="AB752" s="59"/>
      <c r="AC752" s="59"/>
      <c r="AD752" s="59"/>
      <c r="AE752" s="59"/>
    </row>
    <row r="753" spans="1:31" ht="12.5">
      <c r="A753" s="59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  <c r="AA753" s="59"/>
      <c r="AB753" s="59"/>
      <c r="AC753" s="59"/>
      <c r="AD753" s="59"/>
      <c r="AE753" s="59"/>
    </row>
    <row r="754" spans="1:31" ht="12.5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  <c r="AA754" s="59"/>
      <c r="AB754" s="59"/>
      <c r="AC754" s="59"/>
      <c r="AD754" s="59"/>
      <c r="AE754" s="59"/>
    </row>
    <row r="755" spans="1:31" ht="12.5">
      <c r="A755" s="59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  <c r="AA755" s="59"/>
      <c r="AB755" s="59"/>
      <c r="AC755" s="59"/>
      <c r="AD755" s="59"/>
      <c r="AE755" s="59"/>
    </row>
    <row r="756" spans="1:31" ht="12.5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  <c r="AA756" s="59"/>
      <c r="AB756" s="59"/>
      <c r="AC756" s="59"/>
      <c r="AD756" s="59"/>
      <c r="AE756" s="59"/>
    </row>
    <row r="757" spans="1:31" ht="12.5">
      <c r="A757" s="59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  <c r="AA757" s="59"/>
      <c r="AB757" s="59"/>
      <c r="AC757" s="59"/>
      <c r="AD757" s="59"/>
      <c r="AE757" s="59"/>
    </row>
    <row r="758" spans="1:31" ht="12.5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  <c r="AA758" s="59"/>
      <c r="AB758" s="59"/>
      <c r="AC758" s="59"/>
      <c r="AD758" s="59"/>
      <c r="AE758" s="59"/>
    </row>
    <row r="759" spans="1:31" ht="12.5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  <c r="AA759" s="59"/>
      <c r="AB759" s="59"/>
      <c r="AC759" s="59"/>
      <c r="AD759" s="59"/>
      <c r="AE759" s="59"/>
    </row>
    <row r="760" spans="1:31" ht="12.5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  <c r="AA760" s="59"/>
      <c r="AB760" s="59"/>
      <c r="AC760" s="59"/>
      <c r="AD760" s="59"/>
      <c r="AE760" s="59"/>
    </row>
    <row r="761" spans="1:31" ht="12.5">
      <c r="A761" s="59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  <c r="AA761" s="59"/>
      <c r="AB761" s="59"/>
      <c r="AC761" s="59"/>
      <c r="AD761" s="59"/>
      <c r="AE761" s="59"/>
    </row>
    <row r="762" spans="1:31" ht="12.5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  <c r="AA762" s="59"/>
      <c r="AB762" s="59"/>
      <c r="AC762" s="59"/>
      <c r="AD762" s="59"/>
      <c r="AE762" s="59"/>
    </row>
    <row r="763" spans="1:31" ht="12.5">
      <c r="A763" s="59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  <c r="AA763" s="59"/>
      <c r="AB763" s="59"/>
      <c r="AC763" s="59"/>
      <c r="AD763" s="59"/>
      <c r="AE763" s="59"/>
    </row>
    <row r="764" spans="1:31" ht="12.5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  <c r="AA764" s="59"/>
      <c r="AB764" s="59"/>
      <c r="AC764" s="59"/>
      <c r="AD764" s="59"/>
      <c r="AE764" s="59"/>
    </row>
    <row r="765" spans="1:31" ht="12.5">
      <c r="A765" s="59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  <c r="AA765" s="59"/>
      <c r="AB765" s="59"/>
      <c r="AC765" s="59"/>
      <c r="AD765" s="59"/>
      <c r="AE765" s="59"/>
    </row>
    <row r="766" spans="1:31" ht="12.5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  <c r="AA766" s="59"/>
      <c r="AB766" s="59"/>
      <c r="AC766" s="59"/>
      <c r="AD766" s="59"/>
      <c r="AE766" s="59"/>
    </row>
    <row r="767" spans="1:31" ht="12.5">
      <c r="A767" s="59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  <c r="AA767" s="59"/>
      <c r="AB767" s="59"/>
      <c r="AC767" s="59"/>
      <c r="AD767" s="59"/>
      <c r="AE767" s="59"/>
    </row>
    <row r="768" spans="1:31" ht="12.5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  <c r="AA768" s="59"/>
      <c r="AB768" s="59"/>
      <c r="AC768" s="59"/>
      <c r="AD768" s="59"/>
      <c r="AE768" s="59"/>
    </row>
    <row r="769" spans="1:31" ht="12.5">
      <c r="A769" s="59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  <c r="AA769" s="59"/>
      <c r="AB769" s="59"/>
      <c r="AC769" s="59"/>
      <c r="AD769" s="59"/>
      <c r="AE769" s="59"/>
    </row>
    <row r="770" spans="1:31" ht="12.5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  <c r="AA770" s="59"/>
      <c r="AB770" s="59"/>
      <c r="AC770" s="59"/>
      <c r="AD770" s="59"/>
      <c r="AE770" s="59"/>
    </row>
    <row r="771" spans="1:31" ht="12.5">
      <c r="A771" s="59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  <c r="AA771" s="59"/>
      <c r="AB771" s="59"/>
      <c r="AC771" s="59"/>
      <c r="AD771" s="59"/>
      <c r="AE771" s="59"/>
    </row>
    <row r="772" spans="1:31" ht="12.5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  <c r="AA772" s="59"/>
      <c r="AB772" s="59"/>
      <c r="AC772" s="59"/>
      <c r="AD772" s="59"/>
      <c r="AE772" s="59"/>
    </row>
    <row r="773" spans="1:31" ht="12.5">
      <c r="A773" s="59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  <c r="AA773" s="59"/>
      <c r="AB773" s="59"/>
      <c r="AC773" s="59"/>
      <c r="AD773" s="59"/>
      <c r="AE773" s="59"/>
    </row>
    <row r="774" spans="1:31" ht="12.5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  <c r="AA774" s="59"/>
      <c r="AB774" s="59"/>
      <c r="AC774" s="59"/>
      <c r="AD774" s="59"/>
      <c r="AE774" s="59"/>
    </row>
    <row r="775" spans="1:31" ht="12.5">
      <c r="A775" s="59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  <c r="AA775" s="59"/>
      <c r="AB775" s="59"/>
      <c r="AC775" s="59"/>
      <c r="AD775" s="59"/>
      <c r="AE775" s="59"/>
    </row>
    <row r="776" spans="1:31" ht="12.5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  <c r="AA776" s="59"/>
      <c r="AB776" s="59"/>
      <c r="AC776" s="59"/>
      <c r="AD776" s="59"/>
      <c r="AE776" s="59"/>
    </row>
    <row r="777" spans="1:31" ht="12.5">
      <c r="A777" s="59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  <c r="AA777" s="59"/>
      <c r="AB777" s="59"/>
      <c r="AC777" s="59"/>
      <c r="AD777" s="59"/>
      <c r="AE777" s="59"/>
    </row>
    <row r="778" spans="1:31" ht="12.5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  <c r="AA778" s="59"/>
      <c r="AB778" s="59"/>
      <c r="AC778" s="59"/>
      <c r="AD778" s="59"/>
      <c r="AE778" s="59"/>
    </row>
    <row r="779" spans="1:31" ht="12.5">
      <c r="A779" s="59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  <c r="AA779" s="59"/>
      <c r="AB779" s="59"/>
      <c r="AC779" s="59"/>
      <c r="AD779" s="59"/>
      <c r="AE779" s="59"/>
    </row>
    <row r="780" spans="1:31" ht="12.5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  <c r="AA780" s="59"/>
      <c r="AB780" s="59"/>
      <c r="AC780" s="59"/>
      <c r="AD780" s="59"/>
      <c r="AE780" s="59"/>
    </row>
    <row r="781" spans="1:31" ht="12.5">
      <c r="A781" s="59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  <c r="AA781" s="59"/>
      <c r="AB781" s="59"/>
      <c r="AC781" s="59"/>
      <c r="AD781" s="59"/>
      <c r="AE781" s="59"/>
    </row>
    <row r="782" spans="1:31" ht="12.5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  <c r="AA782" s="59"/>
      <c r="AB782" s="59"/>
      <c r="AC782" s="59"/>
      <c r="AD782" s="59"/>
      <c r="AE782" s="59"/>
    </row>
    <row r="783" spans="1:31" ht="12.5">
      <c r="A783" s="59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  <c r="AA783" s="59"/>
      <c r="AB783" s="59"/>
      <c r="AC783" s="59"/>
      <c r="AD783" s="59"/>
      <c r="AE783" s="59"/>
    </row>
    <row r="784" spans="1:31" ht="12.5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  <c r="AA784" s="59"/>
      <c r="AB784" s="59"/>
      <c r="AC784" s="59"/>
      <c r="AD784" s="59"/>
      <c r="AE784" s="59"/>
    </row>
    <row r="785" spans="1:31" ht="12.5">
      <c r="A785" s="59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  <c r="AA785" s="59"/>
      <c r="AB785" s="59"/>
      <c r="AC785" s="59"/>
      <c r="AD785" s="59"/>
      <c r="AE785" s="59"/>
    </row>
    <row r="786" spans="1:31" ht="12.5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  <c r="AA786" s="59"/>
      <c r="AB786" s="59"/>
      <c r="AC786" s="59"/>
      <c r="AD786" s="59"/>
      <c r="AE786" s="59"/>
    </row>
    <row r="787" spans="1:31" ht="12.5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  <c r="AA787" s="59"/>
      <c r="AB787" s="59"/>
      <c r="AC787" s="59"/>
      <c r="AD787" s="59"/>
      <c r="AE787" s="59"/>
    </row>
    <row r="788" spans="1:31" ht="12.5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  <c r="AA788" s="59"/>
      <c r="AB788" s="59"/>
      <c r="AC788" s="59"/>
      <c r="AD788" s="59"/>
      <c r="AE788" s="59"/>
    </row>
    <row r="789" spans="1:31" ht="12.5">
      <c r="A789" s="59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  <c r="AA789" s="59"/>
      <c r="AB789" s="59"/>
      <c r="AC789" s="59"/>
      <c r="AD789" s="59"/>
      <c r="AE789" s="59"/>
    </row>
    <row r="790" spans="1:31" ht="12.5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  <c r="AA790" s="59"/>
      <c r="AB790" s="59"/>
      <c r="AC790" s="59"/>
      <c r="AD790" s="59"/>
      <c r="AE790" s="59"/>
    </row>
    <row r="791" spans="1:31" ht="12.5">
      <c r="A791" s="59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  <c r="AA791" s="59"/>
      <c r="AB791" s="59"/>
      <c r="AC791" s="59"/>
      <c r="AD791" s="59"/>
      <c r="AE791" s="59"/>
    </row>
    <row r="792" spans="1:31" ht="12.5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  <c r="AA792" s="59"/>
      <c r="AB792" s="59"/>
      <c r="AC792" s="59"/>
      <c r="AD792" s="59"/>
      <c r="AE792" s="59"/>
    </row>
    <row r="793" spans="1:31" ht="12.5">
      <c r="A793" s="59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  <c r="AA793" s="59"/>
      <c r="AB793" s="59"/>
      <c r="AC793" s="59"/>
      <c r="AD793" s="59"/>
      <c r="AE793" s="59"/>
    </row>
    <row r="794" spans="1:31" ht="12.5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  <c r="AA794" s="59"/>
      <c r="AB794" s="59"/>
      <c r="AC794" s="59"/>
      <c r="AD794" s="59"/>
      <c r="AE794" s="59"/>
    </row>
    <row r="795" spans="1:31" ht="12.5">
      <c r="A795" s="59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  <c r="AA795" s="59"/>
      <c r="AB795" s="59"/>
      <c r="AC795" s="59"/>
      <c r="AD795" s="59"/>
      <c r="AE795" s="59"/>
    </row>
    <row r="796" spans="1:31" ht="12.5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  <c r="AA796" s="59"/>
      <c r="AB796" s="59"/>
      <c r="AC796" s="59"/>
      <c r="AD796" s="59"/>
      <c r="AE796" s="59"/>
    </row>
    <row r="797" spans="1:31" ht="12.5">
      <c r="A797" s="59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  <c r="AA797" s="59"/>
      <c r="AB797" s="59"/>
      <c r="AC797" s="59"/>
      <c r="AD797" s="59"/>
      <c r="AE797" s="59"/>
    </row>
    <row r="798" spans="1:31" ht="12.5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  <c r="AA798" s="59"/>
      <c r="AB798" s="59"/>
      <c r="AC798" s="59"/>
      <c r="AD798" s="59"/>
      <c r="AE798" s="59"/>
    </row>
    <row r="799" spans="1:31" ht="12.5">
      <c r="A799" s="59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  <c r="AA799" s="59"/>
      <c r="AB799" s="59"/>
      <c r="AC799" s="59"/>
      <c r="AD799" s="59"/>
      <c r="AE799" s="59"/>
    </row>
    <row r="800" spans="1:31" ht="12.5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  <c r="AA800" s="59"/>
      <c r="AB800" s="59"/>
      <c r="AC800" s="59"/>
      <c r="AD800" s="59"/>
      <c r="AE800" s="59"/>
    </row>
    <row r="801" spans="1:31" ht="12.5">
      <c r="A801" s="59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  <c r="AA801" s="59"/>
      <c r="AB801" s="59"/>
      <c r="AC801" s="59"/>
      <c r="AD801" s="59"/>
      <c r="AE801" s="59"/>
    </row>
    <row r="802" spans="1:31" ht="12.5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  <c r="AA802" s="59"/>
      <c r="AB802" s="59"/>
      <c r="AC802" s="59"/>
      <c r="AD802" s="59"/>
      <c r="AE802" s="59"/>
    </row>
    <row r="803" spans="1:31" ht="12.5">
      <c r="A803" s="59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  <c r="AA803" s="59"/>
      <c r="AB803" s="59"/>
      <c r="AC803" s="59"/>
      <c r="AD803" s="59"/>
      <c r="AE803" s="59"/>
    </row>
    <row r="804" spans="1:31" ht="12.5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  <c r="AA804" s="59"/>
      <c r="AB804" s="59"/>
      <c r="AC804" s="59"/>
      <c r="AD804" s="59"/>
      <c r="AE804" s="59"/>
    </row>
    <row r="805" spans="1:31" ht="12.5">
      <c r="A805" s="59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  <c r="AA805" s="59"/>
      <c r="AB805" s="59"/>
      <c r="AC805" s="59"/>
      <c r="AD805" s="59"/>
      <c r="AE805" s="59"/>
    </row>
    <row r="806" spans="1:31" ht="12.5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  <c r="AA806" s="59"/>
      <c r="AB806" s="59"/>
      <c r="AC806" s="59"/>
      <c r="AD806" s="59"/>
      <c r="AE806" s="59"/>
    </row>
    <row r="807" spans="1:31" ht="12.5">
      <c r="A807" s="59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  <c r="AA807" s="59"/>
      <c r="AB807" s="59"/>
      <c r="AC807" s="59"/>
      <c r="AD807" s="59"/>
      <c r="AE807" s="59"/>
    </row>
    <row r="808" spans="1:31" ht="12.5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  <c r="AA808" s="59"/>
      <c r="AB808" s="59"/>
      <c r="AC808" s="59"/>
      <c r="AD808" s="59"/>
      <c r="AE808" s="59"/>
    </row>
    <row r="809" spans="1:31" ht="12.5">
      <c r="A809" s="59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  <c r="AA809" s="59"/>
      <c r="AB809" s="59"/>
      <c r="AC809" s="59"/>
      <c r="AD809" s="59"/>
      <c r="AE809" s="59"/>
    </row>
    <row r="810" spans="1:31" ht="12.5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  <c r="AA810" s="59"/>
      <c r="AB810" s="59"/>
      <c r="AC810" s="59"/>
      <c r="AD810" s="59"/>
      <c r="AE810" s="59"/>
    </row>
    <row r="811" spans="1:31" ht="12.5">
      <c r="A811" s="59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  <c r="AA811" s="59"/>
      <c r="AB811" s="59"/>
      <c r="AC811" s="59"/>
      <c r="AD811" s="59"/>
      <c r="AE811" s="59"/>
    </row>
    <row r="812" spans="1:31" ht="12.5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  <c r="AA812" s="59"/>
      <c r="AB812" s="59"/>
      <c r="AC812" s="59"/>
      <c r="AD812" s="59"/>
      <c r="AE812" s="59"/>
    </row>
    <row r="813" spans="1:31" ht="12.5">
      <c r="A813" s="59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  <c r="AA813" s="59"/>
      <c r="AB813" s="59"/>
      <c r="AC813" s="59"/>
      <c r="AD813" s="59"/>
      <c r="AE813" s="59"/>
    </row>
    <row r="814" spans="1:31" ht="12.5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  <c r="AA814" s="59"/>
      <c r="AB814" s="59"/>
      <c r="AC814" s="59"/>
      <c r="AD814" s="59"/>
      <c r="AE814" s="59"/>
    </row>
    <row r="815" spans="1:31" ht="12.5">
      <c r="A815" s="59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  <c r="AA815" s="59"/>
      <c r="AB815" s="59"/>
      <c r="AC815" s="59"/>
      <c r="AD815" s="59"/>
      <c r="AE815" s="59"/>
    </row>
    <row r="816" spans="1:31" ht="12.5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  <c r="AA816" s="59"/>
      <c r="AB816" s="59"/>
      <c r="AC816" s="59"/>
      <c r="AD816" s="59"/>
      <c r="AE816" s="59"/>
    </row>
    <row r="817" spans="1:31" ht="12.5">
      <c r="A817" s="59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  <c r="AA817" s="59"/>
      <c r="AB817" s="59"/>
      <c r="AC817" s="59"/>
      <c r="AD817" s="59"/>
      <c r="AE817" s="59"/>
    </row>
    <row r="818" spans="1:31" ht="12.5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  <c r="AA818" s="59"/>
      <c r="AB818" s="59"/>
      <c r="AC818" s="59"/>
      <c r="AD818" s="59"/>
      <c r="AE818" s="59"/>
    </row>
    <row r="819" spans="1:31" ht="12.5">
      <c r="A819" s="59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  <c r="AA819" s="59"/>
      <c r="AB819" s="59"/>
      <c r="AC819" s="59"/>
      <c r="AD819" s="59"/>
      <c r="AE819" s="59"/>
    </row>
    <row r="820" spans="1:31" ht="12.5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  <c r="AA820" s="59"/>
      <c r="AB820" s="59"/>
      <c r="AC820" s="59"/>
      <c r="AD820" s="59"/>
      <c r="AE820" s="59"/>
    </row>
    <row r="821" spans="1:31" ht="12.5">
      <c r="A821" s="59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  <c r="AA821" s="59"/>
      <c r="AB821" s="59"/>
      <c r="AC821" s="59"/>
      <c r="AD821" s="59"/>
      <c r="AE821" s="59"/>
    </row>
    <row r="822" spans="1:31" ht="12.5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  <c r="AA822" s="59"/>
      <c r="AB822" s="59"/>
      <c r="AC822" s="59"/>
      <c r="AD822" s="59"/>
      <c r="AE822" s="59"/>
    </row>
    <row r="823" spans="1:31" ht="12.5">
      <c r="A823" s="59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  <c r="AA823" s="59"/>
      <c r="AB823" s="59"/>
      <c r="AC823" s="59"/>
      <c r="AD823" s="59"/>
      <c r="AE823" s="59"/>
    </row>
    <row r="824" spans="1:31" ht="12.5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  <c r="AA824" s="59"/>
      <c r="AB824" s="59"/>
      <c r="AC824" s="59"/>
      <c r="AD824" s="59"/>
      <c r="AE824" s="59"/>
    </row>
    <row r="825" spans="1:31" ht="12.5">
      <c r="A825" s="59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  <c r="AA825" s="59"/>
      <c r="AB825" s="59"/>
      <c r="AC825" s="59"/>
      <c r="AD825" s="59"/>
      <c r="AE825" s="59"/>
    </row>
    <row r="826" spans="1:31" ht="12.5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  <c r="AA826" s="59"/>
      <c r="AB826" s="59"/>
      <c r="AC826" s="59"/>
      <c r="AD826" s="59"/>
      <c r="AE826" s="59"/>
    </row>
    <row r="827" spans="1:31" ht="12.5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  <c r="AA827" s="59"/>
      <c r="AB827" s="59"/>
      <c r="AC827" s="59"/>
      <c r="AD827" s="59"/>
      <c r="AE827" s="59"/>
    </row>
    <row r="828" spans="1:31" ht="12.5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  <c r="AA828" s="59"/>
      <c r="AB828" s="59"/>
      <c r="AC828" s="59"/>
      <c r="AD828" s="59"/>
      <c r="AE828" s="59"/>
    </row>
    <row r="829" spans="1:31" ht="12.5">
      <c r="A829" s="59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  <c r="AA829" s="59"/>
      <c r="AB829" s="59"/>
      <c r="AC829" s="59"/>
      <c r="AD829" s="59"/>
      <c r="AE829" s="59"/>
    </row>
    <row r="830" spans="1:31" ht="12.5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  <c r="AA830" s="59"/>
      <c r="AB830" s="59"/>
      <c r="AC830" s="59"/>
      <c r="AD830" s="59"/>
      <c r="AE830" s="59"/>
    </row>
    <row r="831" spans="1:31" ht="12.5">
      <c r="A831" s="59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  <c r="AA831" s="59"/>
      <c r="AB831" s="59"/>
      <c r="AC831" s="59"/>
      <c r="AD831" s="59"/>
      <c r="AE831" s="59"/>
    </row>
    <row r="832" spans="1:31" ht="12.5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  <c r="AA832" s="59"/>
      <c r="AB832" s="59"/>
      <c r="AC832" s="59"/>
      <c r="AD832" s="59"/>
      <c r="AE832" s="59"/>
    </row>
    <row r="833" spans="1:31" ht="12.5">
      <c r="A833" s="59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  <c r="AA833" s="59"/>
      <c r="AB833" s="59"/>
      <c r="AC833" s="59"/>
      <c r="AD833" s="59"/>
      <c r="AE833" s="59"/>
    </row>
    <row r="834" spans="1:31" ht="12.5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  <c r="AA834" s="59"/>
      <c r="AB834" s="59"/>
      <c r="AC834" s="59"/>
      <c r="AD834" s="59"/>
      <c r="AE834" s="59"/>
    </row>
    <row r="835" spans="1:31" ht="12.5">
      <c r="A835" s="59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  <c r="AA835" s="59"/>
      <c r="AB835" s="59"/>
      <c r="AC835" s="59"/>
      <c r="AD835" s="59"/>
      <c r="AE835" s="59"/>
    </row>
    <row r="836" spans="1:31" ht="12.5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  <c r="AA836" s="59"/>
      <c r="AB836" s="59"/>
      <c r="AC836" s="59"/>
      <c r="AD836" s="59"/>
      <c r="AE836" s="59"/>
    </row>
    <row r="837" spans="1:31" ht="12.5">
      <c r="A837" s="59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  <c r="AA837" s="59"/>
      <c r="AB837" s="59"/>
      <c r="AC837" s="59"/>
      <c r="AD837" s="59"/>
      <c r="AE837" s="59"/>
    </row>
    <row r="838" spans="1:31" ht="12.5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  <c r="AA838" s="59"/>
      <c r="AB838" s="59"/>
      <c r="AC838" s="59"/>
      <c r="AD838" s="59"/>
      <c r="AE838" s="59"/>
    </row>
    <row r="839" spans="1:31" ht="12.5">
      <c r="A839" s="59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  <c r="AA839" s="59"/>
      <c r="AB839" s="59"/>
      <c r="AC839" s="59"/>
      <c r="AD839" s="59"/>
      <c r="AE839" s="59"/>
    </row>
    <row r="840" spans="1:31" ht="12.5">
      <c r="A840" s="59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  <c r="AA840" s="59"/>
      <c r="AB840" s="59"/>
      <c r="AC840" s="59"/>
      <c r="AD840" s="59"/>
      <c r="AE840" s="59"/>
    </row>
    <row r="841" spans="1:31" ht="12.5">
      <c r="A841" s="59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  <c r="AA841" s="59"/>
      <c r="AB841" s="59"/>
      <c r="AC841" s="59"/>
      <c r="AD841" s="59"/>
      <c r="AE841" s="59"/>
    </row>
    <row r="842" spans="1:31" ht="12.5">
      <c r="A842" s="59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  <c r="AA842" s="59"/>
      <c r="AB842" s="59"/>
      <c r="AC842" s="59"/>
      <c r="AD842" s="59"/>
      <c r="AE842" s="59"/>
    </row>
    <row r="843" spans="1:31" ht="12.5">
      <c r="A843" s="59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  <c r="AA843" s="59"/>
      <c r="AB843" s="59"/>
      <c r="AC843" s="59"/>
      <c r="AD843" s="59"/>
      <c r="AE843" s="59"/>
    </row>
    <row r="844" spans="1:31" ht="12.5">
      <c r="A844" s="59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  <c r="AA844" s="59"/>
      <c r="AB844" s="59"/>
      <c r="AC844" s="59"/>
      <c r="AD844" s="59"/>
      <c r="AE844" s="59"/>
    </row>
    <row r="845" spans="1:31" ht="12.5">
      <c r="A845" s="59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  <c r="AA845" s="59"/>
      <c r="AB845" s="59"/>
      <c r="AC845" s="59"/>
      <c r="AD845" s="59"/>
      <c r="AE845" s="59"/>
    </row>
    <row r="846" spans="1:31" ht="12.5">
      <c r="A846" s="59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  <c r="AA846" s="59"/>
      <c r="AB846" s="59"/>
      <c r="AC846" s="59"/>
      <c r="AD846" s="59"/>
      <c r="AE846" s="59"/>
    </row>
    <row r="847" spans="1:31" ht="12.5">
      <c r="A847" s="59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  <c r="AA847" s="59"/>
      <c r="AB847" s="59"/>
      <c r="AC847" s="59"/>
      <c r="AD847" s="59"/>
      <c r="AE847" s="59"/>
    </row>
    <row r="848" spans="1:31" ht="12.5">
      <c r="A848" s="59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  <c r="AA848" s="59"/>
      <c r="AB848" s="59"/>
      <c r="AC848" s="59"/>
      <c r="AD848" s="59"/>
      <c r="AE848" s="59"/>
    </row>
    <row r="849" spans="1:31" ht="12.5">
      <c r="A849" s="59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  <c r="AA849" s="59"/>
      <c r="AB849" s="59"/>
      <c r="AC849" s="59"/>
      <c r="AD849" s="59"/>
      <c r="AE849" s="59"/>
    </row>
    <row r="850" spans="1:31" ht="12.5">
      <c r="A850" s="59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  <c r="AA850" s="59"/>
      <c r="AB850" s="59"/>
      <c r="AC850" s="59"/>
      <c r="AD850" s="59"/>
      <c r="AE850" s="59"/>
    </row>
    <row r="851" spans="1:31" ht="12.5">
      <c r="A851" s="59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  <c r="AA851" s="59"/>
      <c r="AB851" s="59"/>
      <c r="AC851" s="59"/>
      <c r="AD851" s="59"/>
      <c r="AE851" s="59"/>
    </row>
    <row r="852" spans="1:31" ht="12.5">
      <c r="A852" s="59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  <c r="AA852" s="59"/>
      <c r="AB852" s="59"/>
      <c r="AC852" s="59"/>
      <c r="AD852" s="59"/>
      <c r="AE852" s="59"/>
    </row>
    <row r="853" spans="1:31" ht="12.5">
      <c r="A853" s="59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  <c r="AA853" s="59"/>
      <c r="AB853" s="59"/>
      <c r="AC853" s="59"/>
      <c r="AD853" s="59"/>
      <c r="AE853" s="59"/>
    </row>
    <row r="854" spans="1:31" ht="12.5">
      <c r="A854" s="59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  <c r="AA854" s="59"/>
      <c r="AB854" s="59"/>
      <c r="AC854" s="59"/>
      <c r="AD854" s="59"/>
      <c r="AE854" s="59"/>
    </row>
    <row r="855" spans="1:31" ht="12.5">
      <c r="A855" s="59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  <c r="AA855" s="59"/>
      <c r="AB855" s="59"/>
      <c r="AC855" s="59"/>
      <c r="AD855" s="59"/>
      <c r="AE855" s="59"/>
    </row>
    <row r="856" spans="1:31" ht="12.5">
      <c r="A856" s="59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  <c r="AA856" s="59"/>
      <c r="AB856" s="59"/>
      <c r="AC856" s="59"/>
      <c r="AD856" s="59"/>
      <c r="AE856" s="59"/>
    </row>
    <row r="857" spans="1:31" ht="12.5">
      <c r="A857" s="59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  <c r="AA857" s="59"/>
      <c r="AB857" s="59"/>
      <c r="AC857" s="59"/>
      <c r="AD857" s="59"/>
      <c r="AE857" s="59"/>
    </row>
    <row r="858" spans="1:31" ht="12.5">
      <c r="A858" s="59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  <c r="AA858" s="59"/>
      <c r="AB858" s="59"/>
      <c r="AC858" s="59"/>
      <c r="AD858" s="59"/>
      <c r="AE858" s="59"/>
    </row>
    <row r="859" spans="1:31" ht="12.5">
      <c r="A859" s="59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  <c r="AA859" s="59"/>
      <c r="AB859" s="59"/>
      <c r="AC859" s="59"/>
      <c r="AD859" s="59"/>
      <c r="AE859" s="59"/>
    </row>
    <row r="860" spans="1:31" ht="12.5">
      <c r="A860" s="59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  <c r="AA860" s="59"/>
      <c r="AB860" s="59"/>
      <c r="AC860" s="59"/>
      <c r="AD860" s="59"/>
      <c r="AE860" s="59"/>
    </row>
    <row r="861" spans="1:31" ht="12.5">
      <c r="A861" s="59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  <c r="AA861" s="59"/>
      <c r="AB861" s="59"/>
      <c r="AC861" s="59"/>
      <c r="AD861" s="59"/>
      <c r="AE861" s="59"/>
    </row>
    <row r="862" spans="1:31" ht="12.5">
      <c r="A862" s="59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  <c r="AA862" s="59"/>
      <c r="AB862" s="59"/>
      <c r="AC862" s="59"/>
      <c r="AD862" s="59"/>
      <c r="AE862" s="59"/>
    </row>
    <row r="863" spans="1:31" ht="12.5">
      <c r="A863" s="59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  <c r="AA863" s="59"/>
      <c r="AB863" s="59"/>
      <c r="AC863" s="59"/>
      <c r="AD863" s="59"/>
      <c r="AE863" s="59"/>
    </row>
    <row r="864" spans="1:31" ht="12.5">
      <c r="A864" s="59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  <c r="AA864" s="59"/>
      <c r="AB864" s="59"/>
      <c r="AC864" s="59"/>
      <c r="AD864" s="59"/>
      <c r="AE864" s="59"/>
    </row>
    <row r="865" spans="1:31" ht="12.5">
      <c r="A865" s="59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  <c r="AA865" s="59"/>
      <c r="AB865" s="59"/>
      <c r="AC865" s="59"/>
      <c r="AD865" s="59"/>
      <c r="AE865" s="59"/>
    </row>
    <row r="866" spans="1:31" ht="12.5">
      <c r="A866" s="59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  <c r="AA866" s="59"/>
      <c r="AB866" s="59"/>
      <c r="AC866" s="59"/>
      <c r="AD866" s="59"/>
      <c r="AE866" s="59"/>
    </row>
    <row r="867" spans="1:31" ht="12.5">
      <c r="A867" s="59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  <c r="AA867" s="59"/>
      <c r="AB867" s="59"/>
      <c r="AC867" s="59"/>
      <c r="AD867" s="59"/>
      <c r="AE867" s="59"/>
    </row>
    <row r="868" spans="1:31" ht="12.5">
      <c r="A868" s="59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  <c r="AA868" s="59"/>
      <c r="AB868" s="59"/>
      <c r="AC868" s="59"/>
      <c r="AD868" s="59"/>
      <c r="AE868" s="59"/>
    </row>
    <row r="869" spans="1:31" ht="12.5">
      <c r="A869" s="59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  <c r="AA869" s="59"/>
      <c r="AB869" s="59"/>
      <c r="AC869" s="59"/>
      <c r="AD869" s="59"/>
      <c r="AE869" s="59"/>
    </row>
    <row r="870" spans="1:31" ht="12.5">
      <c r="A870" s="59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  <c r="AA870" s="59"/>
      <c r="AB870" s="59"/>
      <c r="AC870" s="59"/>
      <c r="AD870" s="59"/>
      <c r="AE870" s="59"/>
    </row>
    <row r="871" spans="1:31" ht="12.5">
      <c r="A871" s="59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  <c r="AA871" s="59"/>
      <c r="AB871" s="59"/>
      <c r="AC871" s="59"/>
      <c r="AD871" s="59"/>
      <c r="AE871" s="59"/>
    </row>
    <row r="872" spans="1:31" ht="12.5">
      <c r="A872" s="59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  <c r="AA872" s="59"/>
      <c r="AB872" s="59"/>
      <c r="AC872" s="59"/>
      <c r="AD872" s="59"/>
      <c r="AE872" s="59"/>
    </row>
    <row r="873" spans="1:31" ht="12.5">
      <c r="A873" s="59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  <c r="AA873" s="59"/>
      <c r="AB873" s="59"/>
      <c r="AC873" s="59"/>
      <c r="AD873" s="59"/>
      <c r="AE873" s="59"/>
    </row>
    <row r="874" spans="1:31" ht="12.5">
      <c r="A874" s="59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  <c r="AA874" s="59"/>
      <c r="AB874" s="59"/>
      <c r="AC874" s="59"/>
      <c r="AD874" s="59"/>
      <c r="AE874" s="59"/>
    </row>
    <row r="875" spans="1:31" ht="12.5">
      <c r="A875" s="59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  <c r="AA875" s="59"/>
      <c r="AB875" s="59"/>
      <c r="AC875" s="59"/>
      <c r="AD875" s="59"/>
      <c r="AE875" s="59"/>
    </row>
    <row r="876" spans="1:31" ht="12.5">
      <c r="A876" s="59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  <c r="AA876" s="59"/>
      <c r="AB876" s="59"/>
      <c r="AC876" s="59"/>
      <c r="AD876" s="59"/>
      <c r="AE876" s="59"/>
    </row>
    <row r="877" spans="1:31" ht="12.5">
      <c r="A877" s="59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  <c r="AA877" s="59"/>
      <c r="AB877" s="59"/>
      <c r="AC877" s="59"/>
      <c r="AD877" s="59"/>
      <c r="AE877" s="59"/>
    </row>
    <row r="878" spans="1:31" ht="12.5">
      <c r="A878" s="59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  <c r="AA878" s="59"/>
      <c r="AB878" s="59"/>
      <c r="AC878" s="59"/>
      <c r="AD878" s="59"/>
      <c r="AE878" s="59"/>
    </row>
    <row r="879" spans="1:31" ht="12.5">
      <c r="A879" s="59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  <c r="AA879" s="59"/>
      <c r="AB879" s="59"/>
      <c r="AC879" s="59"/>
      <c r="AD879" s="59"/>
      <c r="AE879" s="59"/>
    </row>
    <row r="880" spans="1:31" ht="12.5">
      <c r="A880" s="59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  <c r="AA880" s="59"/>
      <c r="AB880" s="59"/>
      <c r="AC880" s="59"/>
      <c r="AD880" s="59"/>
      <c r="AE880" s="59"/>
    </row>
    <row r="881" spans="1:31" ht="12.5">
      <c r="A881" s="59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  <c r="AA881" s="59"/>
      <c r="AB881" s="59"/>
      <c r="AC881" s="59"/>
      <c r="AD881" s="59"/>
      <c r="AE881" s="59"/>
    </row>
    <row r="882" spans="1:31" ht="12.5">
      <c r="A882" s="59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  <c r="AA882" s="59"/>
      <c r="AB882" s="59"/>
      <c r="AC882" s="59"/>
      <c r="AD882" s="59"/>
      <c r="AE882" s="59"/>
    </row>
    <row r="883" spans="1:31" ht="12.5">
      <c r="A883" s="59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  <c r="AA883" s="59"/>
      <c r="AB883" s="59"/>
      <c r="AC883" s="59"/>
      <c r="AD883" s="59"/>
      <c r="AE883" s="59"/>
    </row>
    <row r="884" spans="1:31" ht="12.5">
      <c r="A884" s="59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  <c r="AA884" s="59"/>
      <c r="AB884" s="59"/>
      <c r="AC884" s="59"/>
      <c r="AD884" s="59"/>
      <c r="AE884" s="59"/>
    </row>
    <row r="885" spans="1:31" ht="12.5">
      <c r="A885" s="59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  <c r="AA885" s="59"/>
      <c r="AB885" s="59"/>
      <c r="AC885" s="59"/>
      <c r="AD885" s="59"/>
      <c r="AE885" s="59"/>
    </row>
    <row r="886" spans="1:31" ht="12.5">
      <c r="A886" s="59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  <c r="AA886" s="59"/>
      <c r="AB886" s="59"/>
      <c r="AC886" s="59"/>
      <c r="AD886" s="59"/>
      <c r="AE886" s="59"/>
    </row>
    <row r="887" spans="1:31" ht="12.5">
      <c r="A887" s="59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  <c r="AA887" s="59"/>
      <c r="AB887" s="59"/>
      <c r="AC887" s="59"/>
      <c r="AD887" s="59"/>
      <c r="AE887" s="59"/>
    </row>
    <row r="888" spans="1:31" ht="12.5">
      <c r="A888" s="59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  <c r="AA888" s="59"/>
      <c r="AB888" s="59"/>
      <c r="AC888" s="59"/>
      <c r="AD888" s="59"/>
      <c r="AE888" s="59"/>
    </row>
    <row r="889" spans="1:31" ht="12.5">
      <c r="A889" s="59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  <c r="AA889" s="59"/>
      <c r="AB889" s="59"/>
      <c r="AC889" s="59"/>
      <c r="AD889" s="59"/>
      <c r="AE889" s="59"/>
    </row>
    <row r="890" spans="1:31" ht="12.5">
      <c r="A890" s="59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  <c r="AA890" s="59"/>
      <c r="AB890" s="59"/>
      <c r="AC890" s="59"/>
      <c r="AD890" s="59"/>
      <c r="AE890" s="59"/>
    </row>
    <row r="891" spans="1:31" ht="12.5">
      <c r="A891" s="59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  <c r="AA891" s="59"/>
      <c r="AB891" s="59"/>
      <c r="AC891" s="59"/>
      <c r="AD891" s="59"/>
      <c r="AE891" s="59"/>
    </row>
    <row r="892" spans="1:31" ht="12.5">
      <c r="A892" s="59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  <c r="AA892" s="59"/>
      <c r="AB892" s="59"/>
      <c r="AC892" s="59"/>
      <c r="AD892" s="59"/>
      <c r="AE892" s="59"/>
    </row>
    <row r="893" spans="1:31" ht="12.5">
      <c r="A893" s="59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  <c r="AA893" s="59"/>
      <c r="AB893" s="59"/>
      <c r="AC893" s="59"/>
      <c r="AD893" s="59"/>
      <c r="AE893" s="59"/>
    </row>
    <row r="894" spans="1:31" ht="12.5">
      <c r="A894" s="59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  <c r="AA894" s="59"/>
      <c r="AB894" s="59"/>
      <c r="AC894" s="59"/>
      <c r="AD894" s="59"/>
      <c r="AE894" s="59"/>
    </row>
    <row r="895" spans="1:31" ht="12.5">
      <c r="A895" s="59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  <c r="AA895" s="59"/>
      <c r="AB895" s="59"/>
      <c r="AC895" s="59"/>
      <c r="AD895" s="59"/>
      <c r="AE895" s="59"/>
    </row>
    <row r="896" spans="1:31" ht="12.5">
      <c r="A896" s="59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  <c r="AA896" s="59"/>
      <c r="AB896" s="59"/>
      <c r="AC896" s="59"/>
      <c r="AD896" s="59"/>
      <c r="AE896" s="59"/>
    </row>
    <row r="897" spans="1:31" ht="12.5">
      <c r="A897" s="59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  <c r="AA897" s="59"/>
      <c r="AB897" s="59"/>
      <c r="AC897" s="59"/>
      <c r="AD897" s="59"/>
      <c r="AE897" s="59"/>
    </row>
    <row r="898" spans="1:31" ht="12.5">
      <c r="A898" s="59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  <c r="AA898" s="59"/>
      <c r="AB898" s="59"/>
      <c r="AC898" s="59"/>
      <c r="AD898" s="59"/>
      <c r="AE898" s="59"/>
    </row>
    <row r="899" spans="1:31" ht="12.5">
      <c r="A899" s="59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  <c r="AA899" s="59"/>
      <c r="AB899" s="59"/>
      <c r="AC899" s="59"/>
      <c r="AD899" s="59"/>
      <c r="AE899" s="59"/>
    </row>
    <row r="900" spans="1:31" ht="12.5">
      <c r="A900" s="59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  <c r="AA900" s="59"/>
      <c r="AB900" s="59"/>
      <c r="AC900" s="59"/>
      <c r="AD900" s="59"/>
      <c r="AE900" s="59"/>
    </row>
    <row r="901" spans="1:31" ht="12.5">
      <c r="A901" s="59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  <c r="AA901" s="59"/>
      <c r="AB901" s="59"/>
      <c r="AC901" s="59"/>
      <c r="AD901" s="59"/>
      <c r="AE901" s="59"/>
    </row>
    <row r="902" spans="1:31" ht="12.5">
      <c r="A902" s="59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  <c r="AA902" s="59"/>
      <c r="AB902" s="59"/>
      <c r="AC902" s="59"/>
      <c r="AD902" s="59"/>
      <c r="AE902" s="59"/>
    </row>
    <row r="903" spans="1:31" ht="12.5">
      <c r="A903" s="59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  <c r="AA903" s="59"/>
      <c r="AB903" s="59"/>
      <c r="AC903" s="59"/>
      <c r="AD903" s="59"/>
      <c r="AE903" s="59"/>
    </row>
    <row r="904" spans="1:31" ht="12.5">
      <c r="A904" s="59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  <c r="AA904" s="59"/>
      <c r="AB904" s="59"/>
      <c r="AC904" s="59"/>
      <c r="AD904" s="59"/>
      <c r="AE904" s="59"/>
    </row>
    <row r="905" spans="1:31" ht="12.5">
      <c r="A905" s="59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  <c r="AA905" s="59"/>
      <c r="AB905" s="59"/>
      <c r="AC905" s="59"/>
      <c r="AD905" s="59"/>
      <c r="AE905" s="59"/>
    </row>
    <row r="906" spans="1:31" ht="12.5">
      <c r="A906" s="59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  <c r="AA906" s="59"/>
      <c r="AB906" s="59"/>
      <c r="AC906" s="59"/>
      <c r="AD906" s="59"/>
      <c r="AE906" s="59"/>
    </row>
    <row r="907" spans="1:31" ht="12.5">
      <c r="A907" s="59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  <c r="AA907" s="59"/>
      <c r="AB907" s="59"/>
      <c r="AC907" s="59"/>
      <c r="AD907" s="59"/>
      <c r="AE907" s="59"/>
    </row>
    <row r="908" spans="1:31" ht="12.5">
      <c r="A908" s="59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  <c r="AA908" s="59"/>
      <c r="AB908" s="59"/>
      <c r="AC908" s="59"/>
      <c r="AD908" s="59"/>
      <c r="AE908" s="59"/>
    </row>
    <row r="909" spans="1:31" ht="12.5">
      <c r="A909" s="59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  <c r="AA909" s="59"/>
      <c r="AB909" s="59"/>
      <c r="AC909" s="59"/>
      <c r="AD909" s="59"/>
      <c r="AE909" s="59"/>
    </row>
    <row r="910" spans="1:31" ht="12.5">
      <c r="A910" s="59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  <c r="AA910" s="59"/>
      <c r="AB910" s="59"/>
      <c r="AC910" s="59"/>
      <c r="AD910" s="59"/>
      <c r="AE910" s="59"/>
    </row>
    <row r="911" spans="1:31" ht="12.5">
      <c r="A911" s="59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  <c r="AA911" s="59"/>
      <c r="AB911" s="59"/>
      <c r="AC911" s="59"/>
      <c r="AD911" s="59"/>
      <c r="AE911" s="59"/>
    </row>
    <row r="912" spans="1:31" ht="12.5">
      <c r="A912" s="59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  <c r="AA912" s="59"/>
      <c r="AB912" s="59"/>
      <c r="AC912" s="59"/>
      <c r="AD912" s="59"/>
      <c r="AE912" s="59"/>
    </row>
    <row r="913" spans="1:31" ht="12.5">
      <c r="A913" s="59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  <c r="AA913" s="59"/>
      <c r="AB913" s="59"/>
      <c r="AC913" s="59"/>
      <c r="AD913" s="59"/>
      <c r="AE913" s="59"/>
    </row>
    <row r="914" spans="1:31" ht="12.5">
      <c r="A914" s="59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  <c r="AA914" s="59"/>
      <c r="AB914" s="59"/>
      <c r="AC914" s="59"/>
      <c r="AD914" s="59"/>
      <c r="AE914" s="59"/>
    </row>
    <row r="915" spans="1:31" ht="12.5">
      <c r="A915" s="59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  <c r="AA915" s="59"/>
      <c r="AB915" s="59"/>
      <c r="AC915" s="59"/>
      <c r="AD915" s="59"/>
      <c r="AE915" s="59"/>
    </row>
    <row r="916" spans="1:31" ht="12.5">
      <c r="A916" s="59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  <c r="AA916" s="59"/>
      <c r="AB916" s="59"/>
      <c r="AC916" s="59"/>
      <c r="AD916" s="59"/>
      <c r="AE916" s="59"/>
    </row>
    <row r="917" spans="1:31" ht="12.5">
      <c r="A917" s="59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  <c r="AA917" s="59"/>
      <c r="AB917" s="59"/>
      <c r="AC917" s="59"/>
      <c r="AD917" s="59"/>
      <c r="AE917" s="59"/>
    </row>
    <row r="918" spans="1:31" ht="12.5">
      <c r="A918" s="59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  <c r="AA918" s="59"/>
      <c r="AB918" s="59"/>
      <c r="AC918" s="59"/>
      <c r="AD918" s="59"/>
      <c r="AE918" s="59"/>
    </row>
    <row r="919" spans="1:31" ht="12.5">
      <c r="A919" s="59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  <c r="AA919" s="59"/>
      <c r="AB919" s="59"/>
      <c r="AC919" s="59"/>
      <c r="AD919" s="59"/>
      <c r="AE919" s="59"/>
    </row>
    <row r="920" spans="1:31" ht="12.5">
      <c r="A920" s="59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  <c r="AA920" s="59"/>
      <c r="AB920" s="59"/>
      <c r="AC920" s="59"/>
      <c r="AD920" s="59"/>
      <c r="AE920" s="59"/>
    </row>
    <row r="921" spans="1:31" ht="12.5">
      <c r="A921" s="59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  <c r="AA921" s="59"/>
      <c r="AB921" s="59"/>
      <c r="AC921" s="59"/>
      <c r="AD921" s="59"/>
      <c r="AE921" s="59"/>
    </row>
    <row r="922" spans="1:31" ht="12.5">
      <c r="A922" s="59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  <c r="AA922" s="59"/>
      <c r="AB922" s="59"/>
      <c r="AC922" s="59"/>
      <c r="AD922" s="59"/>
      <c r="AE922" s="59"/>
    </row>
    <row r="923" spans="1:31" ht="12.5">
      <c r="A923" s="59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  <c r="AA923" s="59"/>
      <c r="AB923" s="59"/>
      <c r="AC923" s="59"/>
      <c r="AD923" s="59"/>
      <c r="AE923" s="59"/>
    </row>
    <row r="924" spans="1:31" ht="12.5">
      <c r="A924" s="59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  <c r="AA924" s="59"/>
      <c r="AB924" s="59"/>
      <c r="AC924" s="59"/>
      <c r="AD924" s="59"/>
      <c r="AE924" s="59"/>
    </row>
    <row r="925" spans="1:31" ht="12.5">
      <c r="A925" s="59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  <c r="AA925" s="59"/>
      <c r="AB925" s="59"/>
      <c r="AC925" s="59"/>
      <c r="AD925" s="59"/>
      <c r="AE925" s="59"/>
    </row>
    <row r="926" spans="1:31" ht="12.5">
      <c r="A926" s="59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  <c r="AA926" s="59"/>
      <c r="AB926" s="59"/>
      <c r="AC926" s="59"/>
      <c r="AD926" s="59"/>
      <c r="AE926" s="59"/>
    </row>
    <row r="927" spans="1:31" ht="12.5">
      <c r="A927" s="59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  <c r="AA927" s="59"/>
      <c r="AB927" s="59"/>
      <c r="AC927" s="59"/>
      <c r="AD927" s="59"/>
      <c r="AE927" s="59"/>
    </row>
    <row r="928" spans="1:31" ht="12.5">
      <c r="A928" s="59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  <c r="AA928" s="59"/>
      <c r="AB928" s="59"/>
      <c r="AC928" s="59"/>
      <c r="AD928" s="59"/>
      <c r="AE928" s="59"/>
    </row>
    <row r="929" spans="1:31" ht="12.5">
      <c r="A929" s="59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  <c r="AA929" s="59"/>
      <c r="AB929" s="59"/>
      <c r="AC929" s="59"/>
      <c r="AD929" s="59"/>
      <c r="AE929" s="59"/>
    </row>
    <row r="930" spans="1:31" ht="12.5">
      <c r="A930" s="59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  <c r="AA930" s="59"/>
      <c r="AB930" s="59"/>
      <c r="AC930" s="59"/>
      <c r="AD930" s="59"/>
      <c r="AE930" s="59"/>
    </row>
    <row r="931" spans="1:31" ht="12.5">
      <c r="A931" s="59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  <c r="AA931" s="59"/>
      <c r="AB931" s="59"/>
      <c r="AC931" s="59"/>
      <c r="AD931" s="59"/>
      <c r="AE931" s="59"/>
    </row>
    <row r="932" spans="1:31" ht="12.5">
      <c r="A932" s="59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  <c r="AA932" s="59"/>
      <c r="AB932" s="59"/>
      <c r="AC932" s="59"/>
      <c r="AD932" s="59"/>
      <c r="AE932" s="59"/>
    </row>
    <row r="933" spans="1:31" ht="12.5">
      <c r="A933" s="59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  <c r="AA933" s="59"/>
      <c r="AB933" s="59"/>
      <c r="AC933" s="59"/>
      <c r="AD933" s="59"/>
      <c r="AE933" s="59"/>
    </row>
    <row r="934" spans="1:31" ht="12.5">
      <c r="A934" s="59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  <c r="AA934" s="59"/>
      <c r="AB934" s="59"/>
      <c r="AC934" s="59"/>
      <c r="AD934" s="59"/>
      <c r="AE934" s="59"/>
    </row>
    <row r="935" spans="1:31" ht="12.5">
      <c r="A935" s="59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  <c r="AA935" s="59"/>
      <c r="AB935" s="59"/>
      <c r="AC935" s="59"/>
      <c r="AD935" s="59"/>
      <c r="AE935" s="59"/>
    </row>
    <row r="936" spans="1:31" ht="12.5">
      <c r="A936" s="59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  <c r="AA936" s="59"/>
      <c r="AB936" s="59"/>
      <c r="AC936" s="59"/>
      <c r="AD936" s="59"/>
      <c r="AE936" s="59"/>
    </row>
    <row r="937" spans="1:31" ht="12.5">
      <c r="A937" s="59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  <c r="AA937" s="59"/>
      <c r="AB937" s="59"/>
      <c r="AC937" s="59"/>
      <c r="AD937" s="59"/>
      <c r="AE937" s="59"/>
    </row>
    <row r="938" spans="1:31" ht="12.5">
      <c r="A938" s="59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  <c r="AA938" s="59"/>
      <c r="AB938" s="59"/>
      <c r="AC938" s="59"/>
      <c r="AD938" s="59"/>
      <c r="AE938" s="59"/>
    </row>
    <row r="939" spans="1:31" ht="12.5">
      <c r="A939" s="59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  <c r="AA939" s="59"/>
      <c r="AB939" s="59"/>
      <c r="AC939" s="59"/>
      <c r="AD939" s="59"/>
      <c r="AE939" s="59"/>
    </row>
    <row r="940" spans="1:31" ht="12.5">
      <c r="A940" s="59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  <c r="AA940" s="59"/>
      <c r="AB940" s="59"/>
      <c r="AC940" s="59"/>
      <c r="AD940" s="59"/>
      <c r="AE940" s="59"/>
    </row>
    <row r="941" spans="1:31" ht="12.5">
      <c r="A941" s="59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  <c r="AA941" s="59"/>
      <c r="AB941" s="59"/>
      <c r="AC941" s="59"/>
      <c r="AD941" s="59"/>
      <c r="AE941" s="59"/>
    </row>
    <row r="942" spans="1:31" ht="12.5">
      <c r="A942" s="59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  <c r="AA942" s="59"/>
      <c r="AB942" s="59"/>
      <c r="AC942" s="59"/>
      <c r="AD942" s="59"/>
      <c r="AE942" s="59"/>
    </row>
    <row r="943" spans="1:31" ht="12.5">
      <c r="A943" s="59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  <c r="AA943" s="59"/>
      <c r="AB943" s="59"/>
      <c r="AC943" s="59"/>
      <c r="AD943" s="59"/>
      <c r="AE943" s="59"/>
    </row>
    <row r="944" spans="1:31" ht="12.5">
      <c r="A944" s="59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  <c r="AA944" s="59"/>
      <c r="AB944" s="59"/>
      <c r="AC944" s="59"/>
      <c r="AD944" s="59"/>
      <c r="AE944" s="59"/>
    </row>
    <row r="945" spans="1:31" ht="12.5">
      <c r="A945" s="59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  <c r="AA945" s="59"/>
      <c r="AB945" s="59"/>
      <c r="AC945" s="59"/>
      <c r="AD945" s="59"/>
      <c r="AE945" s="59"/>
    </row>
    <row r="946" spans="1:31" ht="12.5">
      <c r="A946" s="59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  <c r="AA946" s="59"/>
      <c r="AB946" s="59"/>
      <c r="AC946" s="59"/>
      <c r="AD946" s="59"/>
      <c r="AE946" s="59"/>
    </row>
    <row r="947" spans="1:31" ht="12.5">
      <c r="A947" s="59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  <c r="AA947" s="59"/>
      <c r="AB947" s="59"/>
      <c r="AC947" s="59"/>
      <c r="AD947" s="59"/>
      <c r="AE947" s="59"/>
    </row>
    <row r="948" spans="1:31" ht="12.5">
      <c r="A948" s="59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  <c r="AA948" s="59"/>
      <c r="AB948" s="59"/>
      <c r="AC948" s="59"/>
      <c r="AD948" s="59"/>
      <c r="AE948" s="59"/>
    </row>
    <row r="949" spans="1:31" ht="12.5">
      <c r="A949" s="59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  <c r="AA949" s="59"/>
      <c r="AB949" s="59"/>
      <c r="AC949" s="59"/>
      <c r="AD949" s="59"/>
      <c r="AE949" s="59"/>
    </row>
    <row r="950" spans="1:31" ht="12.5">
      <c r="A950" s="59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  <c r="AA950" s="59"/>
      <c r="AB950" s="59"/>
      <c r="AC950" s="59"/>
      <c r="AD950" s="59"/>
      <c r="AE950" s="59"/>
    </row>
    <row r="951" spans="1:31" ht="12.5">
      <c r="A951" s="59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  <c r="AA951" s="59"/>
      <c r="AB951" s="59"/>
      <c r="AC951" s="59"/>
      <c r="AD951" s="59"/>
      <c r="AE951" s="59"/>
    </row>
    <row r="952" spans="1:31" ht="12.5">
      <c r="A952" s="59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  <c r="AA952" s="59"/>
      <c r="AB952" s="59"/>
      <c r="AC952" s="59"/>
      <c r="AD952" s="59"/>
      <c r="AE952" s="59"/>
    </row>
    <row r="953" spans="1:31" ht="12.5">
      <c r="A953" s="59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  <c r="AA953" s="59"/>
      <c r="AB953" s="59"/>
      <c r="AC953" s="59"/>
      <c r="AD953" s="59"/>
      <c r="AE953" s="59"/>
    </row>
    <row r="954" spans="1:31" ht="12.5">
      <c r="A954" s="59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  <c r="AA954" s="59"/>
      <c r="AB954" s="59"/>
      <c r="AC954" s="59"/>
      <c r="AD954" s="59"/>
      <c r="AE954" s="59"/>
    </row>
    <row r="955" spans="1:31" ht="12.5">
      <c r="A955" s="59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  <c r="AA955" s="59"/>
      <c r="AB955" s="59"/>
      <c r="AC955" s="59"/>
      <c r="AD955" s="59"/>
      <c r="AE955" s="59"/>
    </row>
    <row r="956" spans="1:31" ht="12.5">
      <c r="A956" s="59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  <c r="AA956" s="59"/>
      <c r="AB956" s="59"/>
      <c r="AC956" s="59"/>
      <c r="AD956" s="59"/>
      <c r="AE956" s="59"/>
    </row>
    <row r="957" spans="1:31" ht="12.5">
      <c r="A957" s="59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  <c r="AA957" s="59"/>
      <c r="AB957" s="59"/>
      <c r="AC957" s="59"/>
      <c r="AD957" s="59"/>
      <c r="AE957" s="59"/>
    </row>
    <row r="958" spans="1:31" ht="12.5">
      <c r="A958" s="59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  <c r="AA958" s="59"/>
      <c r="AB958" s="59"/>
      <c r="AC958" s="59"/>
      <c r="AD958" s="59"/>
      <c r="AE958" s="59"/>
    </row>
    <row r="959" spans="1:31" ht="12.5">
      <c r="A959" s="59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  <c r="AA959" s="59"/>
      <c r="AB959" s="59"/>
      <c r="AC959" s="59"/>
      <c r="AD959" s="59"/>
      <c r="AE959" s="59"/>
    </row>
    <row r="960" spans="1:31" ht="12.5">
      <c r="A960" s="59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  <c r="AA960" s="59"/>
      <c r="AB960" s="59"/>
      <c r="AC960" s="59"/>
      <c r="AD960" s="59"/>
      <c r="AE960" s="59"/>
    </row>
    <row r="961" spans="1:31" ht="12.5">
      <c r="A961" s="59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  <c r="AA961" s="59"/>
      <c r="AB961" s="59"/>
      <c r="AC961" s="59"/>
      <c r="AD961" s="59"/>
      <c r="AE961" s="59"/>
    </row>
    <row r="962" spans="1:31" ht="12.5">
      <c r="A962" s="59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  <c r="AA962" s="59"/>
      <c r="AB962" s="59"/>
      <c r="AC962" s="59"/>
      <c r="AD962" s="59"/>
      <c r="AE962" s="59"/>
    </row>
    <row r="963" spans="1:31" ht="12.5">
      <c r="A963" s="59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  <c r="AA963" s="59"/>
      <c r="AB963" s="59"/>
      <c r="AC963" s="59"/>
      <c r="AD963" s="59"/>
      <c r="AE963" s="59"/>
    </row>
    <row r="964" spans="1:31" ht="12.5">
      <c r="A964" s="59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  <c r="AA964" s="59"/>
      <c r="AB964" s="59"/>
      <c r="AC964" s="59"/>
      <c r="AD964" s="59"/>
      <c r="AE964" s="59"/>
    </row>
    <row r="965" spans="1:31" ht="12.5">
      <c r="A965" s="59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  <c r="AA965" s="59"/>
      <c r="AB965" s="59"/>
      <c r="AC965" s="59"/>
      <c r="AD965" s="59"/>
      <c r="AE965" s="59"/>
    </row>
    <row r="966" spans="1:31" ht="12.5">
      <c r="A966" s="59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  <c r="AA966" s="59"/>
      <c r="AB966" s="59"/>
      <c r="AC966" s="59"/>
      <c r="AD966" s="59"/>
      <c r="AE966" s="59"/>
    </row>
    <row r="967" spans="1:31" ht="12.5">
      <c r="A967" s="59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  <c r="AA967" s="59"/>
      <c r="AB967" s="59"/>
      <c r="AC967" s="59"/>
      <c r="AD967" s="59"/>
      <c r="AE967" s="59"/>
    </row>
    <row r="968" spans="1:31" ht="12.5">
      <c r="A968" s="59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  <c r="AA968" s="59"/>
      <c r="AB968" s="59"/>
      <c r="AC968" s="59"/>
      <c r="AD968" s="59"/>
      <c r="AE968" s="59"/>
    </row>
    <row r="969" spans="1:31" ht="12.5">
      <c r="A969" s="59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  <c r="AA969" s="59"/>
      <c r="AB969" s="59"/>
      <c r="AC969" s="59"/>
      <c r="AD969" s="59"/>
      <c r="AE969" s="59"/>
    </row>
    <row r="970" spans="1:31" ht="12.5">
      <c r="A970" s="59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  <c r="AA970" s="59"/>
      <c r="AB970" s="59"/>
      <c r="AC970" s="59"/>
      <c r="AD970" s="59"/>
      <c r="AE970" s="59"/>
    </row>
    <row r="971" spans="1:31" ht="12.5">
      <c r="A971" s="59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  <c r="AA971" s="59"/>
      <c r="AB971" s="59"/>
      <c r="AC971" s="59"/>
      <c r="AD971" s="59"/>
      <c r="AE971" s="59"/>
    </row>
    <row r="972" spans="1:31" ht="12.5">
      <c r="A972" s="59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  <c r="AA972" s="59"/>
      <c r="AB972" s="59"/>
      <c r="AC972" s="59"/>
      <c r="AD972" s="59"/>
      <c r="AE972" s="59"/>
    </row>
    <row r="973" spans="1:31" ht="12.5">
      <c r="A973" s="59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  <c r="AA973" s="59"/>
      <c r="AB973" s="59"/>
      <c r="AC973" s="59"/>
      <c r="AD973" s="59"/>
      <c r="AE973" s="59"/>
    </row>
    <row r="974" spans="1:31" ht="12.5">
      <c r="A974" s="59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  <c r="AA974" s="59"/>
      <c r="AB974" s="59"/>
      <c r="AC974" s="59"/>
      <c r="AD974" s="59"/>
      <c r="AE974" s="59"/>
    </row>
    <row r="975" spans="1:31" ht="12.5">
      <c r="A975" s="59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  <c r="AA975" s="59"/>
      <c r="AB975" s="59"/>
      <c r="AC975" s="59"/>
      <c r="AD975" s="59"/>
      <c r="AE975" s="59"/>
    </row>
    <row r="976" spans="1:31" ht="12.5">
      <c r="A976" s="59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  <c r="AA976" s="59"/>
      <c r="AB976" s="59"/>
      <c r="AC976" s="59"/>
      <c r="AD976" s="59"/>
      <c r="AE976" s="59"/>
    </row>
    <row r="977" spans="1:31" ht="12.5">
      <c r="A977" s="59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  <c r="AA977" s="59"/>
      <c r="AB977" s="59"/>
      <c r="AC977" s="59"/>
      <c r="AD977" s="59"/>
      <c r="AE977" s="59"/>
    </row>
    <row r="978" spans="1:31" ht="12.5">
      <c r="A978" s="59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  <c r="AA978" s="59"/>
      <c r="AB978" s="59"/>
      <c r="AC978" s="59"/>
      <c r="AD978" s="59"/>
      <c r="AE978" s="59"/>
    </row>
    <row r="979" spans="1:31" ht="12.5">
      <c r="A979" s="59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  <c r="AA979" s="59"/>
      <c r="AB979" s="59"/>
      <c r="AC979" s="59"/>
      <c r="AD979" s="59"/>
      <c r="AE979" s="59"/>
    </row>
    <row r="980" spans="1:31" ht="12.5">
      <c r="A980" s="59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  <c r="AA980" s="59"/>
      <c r="AB980" s="59"/>
      <c r="AC980" s="59"/>
      <c r="AD980" s="59"/>
      <c r="AE980" s="59"/>
    </row>
    <row r="981" spans="1:31" ht="12.5">
      <c r="A981" s="59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  <c r="AA981" s="59"/>
      <c r="AB981" s="59"/>
      <c r="AC981" s="59"/>
      <c r="AD981" s="59"/>
      <c r="AE981" s="59"/>
    </row>
    <row r="982" spans="1:31" ht="12.5">
      <c r="A982" s="59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  <c r="AA982" s="59"/>
      <c r="AB982" s="59"/>
      <c r="AC982" s="59"/>
      <c r="AD982" s="59"/>
      <c r="AE982" s="59"/>
    </row>
    <row r="983" spans="1:31" ht="12.5">
      <c r="A983" s="59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  <c r="AA983" s="59"/>
      <c r="AB983" s="59"/>
      <c r="AC983" s="59"/>
      <c r="AD983" s="59"/>
      <c r="AE983" s="59"/>
    </row>
    <row r="984" spans="1:31" ht="12.5">
      <c r="A984" s="59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  <c r="AA984" s="59"/>
      <c r="AB984" s="59"/>
      <c r="AC984" s="59"/>
      <c r="AD984" s="59"/>
      <c r="AE984" s="59"/>
    </row>
    <row r="985" spans="1:31" ht="12.5">
      <c r="A985" s="59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  <c r="AA985" s="59"/>
      <c r="AB985" s="59"/>
      <c r="AC985" s="59"/>
      <c r="AD985" s="59"/>
      <c r="AE985" s="59"/>
    </row>
    <row r="986" spans="1:31" ht="12.5">
      <c r="A986" s="59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  <c r="AA986" s="59"/>
      <c r="AB986" s="59"/>
      <c r="AC986" s="59"/>
      <c r="AD986" s="59"/>
      <c r="AE986" s="59"/>
    </row>
    <row r="987" spans="1:31" ht="12.5">
      <c r="A987" s="59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  <c r="AA987" s="59"/>
      <c r="AB987" s="59"/>
      <c r="AC987" s="59"/>
      <c r="AD987" s="59"/>
      <c r="AE987" s="59"/>
    </row>
    <row r="988" spans="1:31" ht="12.5">
      <c r="A988" s="59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  <c r="AA988" s="59"/>
      <c r="AB988" s="59"/>
      <c r="AC988" s="59"/>
      <c r="AD988" s="59"/>
      <c r="AE988" s="59"/>
    </row>
    <row r="989" spans="1:31" ht="12.5">
      <c r="A989" s="59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  <c r="AA989" s="59"/>
      <c r="AB989" s="59"/>
      <c r="AC989" s="59"/>
      <c r="AD989" s="59"/>
      <c r="AE989" s="59"/>
    </row>
    <row r="990" spans="1:31" ht="12.5">
      <c r="A990" s="59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  <c r="AA990" s="59"/>
      <c r="AB990" s="59"/>
      <c r="AC990" s="59"/>
      <c r="AD990" s="59"/>
      <c r="AE990" s="59"/>
    </row>
    <row r="991" spans="1:31" ht="12.5">
      <c r="A991" s="59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59"/>
      <c r="AA991" s="59"/>
      <c r="AB991" s="59"/>
      <c r="AC991" s="59"/>
      <c r="AD991" s="59"/>
      <c r="AE991" s="59"/>
    </row>
    <row r="992" spans="1:31" ht="12.5">
      <c r="A992" s="59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59"/>
      <c r="AA992" s="59"/>
      <c r="AB992" s="59"/>
      <c r="AC992" s="59"/>
      <c r="AD992" s="59"/>
      <c r="AE992" s="59"/>
    </row>
    <row r="993" spans="1:31" ht="12.5">
      <c r="A993" s="59"/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  <c r="AA993" s="59"/>
      <c r="AB993" s="59"/>
      <c r="AC993" s="59"/>
      <c r="AD993" s="59"/>
      <c r="AE993" s="59"/>
    </row>
    <row r="994" spans="1:31" ht="12.5">
      <c r="A994" s="59"/>
      <c r="B994" s="59"/>
      <c r="C994" s="59"/>
      <c r="D994" s="59"/>
      <c r="E994" s="59"/>
      <c r="F994" s="59"/>
      <c r="G994" s="59"/>
      <c r="H994" s="59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  <c r="W994" s="59"/>
      <c r="X994" s="59"/>
      <c r="Y994" s="59"/>
      <c r="Z994" s="59"/>
      <c r="AA994" s="59"/>
      <c r="AB994" s="59"/>
      <c r="AC994" s="59"/>
      <c r="AD994" s="59"/>
      <c r="AE994" s="59"/>
    </row>
    <row r="995" spans="1:31" ht="12.5">
      <c r="A995" s="59"/>
      <c r="B995" s="59"/>
      <c r="C995" s="59"/>
      <c r="D995" s="59"/>
      <c r="E995" s="59"/>
      <c r="F995" s="59"/>
      <c r="G995" s="59"/>
      <c r="H995" s="59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  <c r="W995" s="59"/>
      <c r="X995" s="59"/>
      <c r="Y995" s="59"/>
      <c r="Z995" s="59"/>
      <c r="AA995" s="59"/>
      <c r="AB995" s="59"/>
      <c r="AC995" s="59"/>
      <c r="AD995" s="59"/>
      <c r="AE995" s="59"/>
    </row>
  </sheetData>
  <mergeCells count="16">
    <mergeCell ref="F1:F2"/>
    <mergeCell ref="G1:G2"/>
    <mergeCell ref="X1:AA1"/>
    <mergeCell ref="AB1:AE1"/>
    <mergeCell ref="H1:H2"/>
    <mergeCell ref="I1:I2"/>
    <mergeCell ref="J1:J2"/>
    <mergeCell ref="K1:K2"/>
    <mergeCell ref="L1:O1"/>
    <mergeCell ref="P1:S1"/>
    <mergeCell ref="T1:W1"/>
    <mergeCell ref="A1:A2"/>
    <mergeCell ref="B1:B2"/>
    <mergeCell ref="C1:C2"/>
    <mergeCell ref="D1:D2"/>
    <mergeCell ref="E1:E2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AI1000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12.6328125" defaultRowHeight="15.75" customHeight="1"/>
  <cols>
    <col min="1" max="1" width="6" customWidth="1"/>
    <col min="3" max="3" width="7.453125" customWidth="1"/>
    <col min="4" max="9" width="11.08984375" customWidth="1"/>
    <col min="10" max="35" width="9.6328125" customWidth="1"/>
  </cols>
  <sheetData>
    <row r="1" spans="1:35" ht="13">
      <c r="A1" s="124" t="s">
        <v>62</v>
      </c>
      <c r="B1" s="124" t="s">
        <v>0</v>
      </c>
      <c r="C1" s="126" t="s">
        <v>1</v>
      </c>
      <c r="D1" s="127" t="s">
        <v>2</v>
      </c>
      <c r="E1" s="127" t="s">
        <v>3</v>
      </c>
      <c r="F1" s="128" t="s">
        <v>4</v>
      </c>
      <c r="G1" s="128" t="s">
        <v>5</v>
      </c>
      <c r="H1" s="128" t="s">
        <v>6</v>
      </c>
      <c r="I1" s="128" t="s">
        <v>7</v>
      </c>
      <c r="J1" s="131" t="s">
        <v>10</v>
      </c>
      <c r="K1" s="125"/>
      <c r="L1" s="125"/>
      <c r="M1" s="125"/>
      <c r="N1" s="132" t="s">
        <v>11</v>
      </c>
      <c r="O1" s="125"/>
      <c r="P1" s="125"/>
      <c r="Q1" s="125"/>
      <c r="R1" s="133" t="s">
        <v>12</v>
      </c>
      <c r="S1" s="125"/>
      <c r="T1" s="125"/>
      <c r="U1" s="125"/>
      <c r="V1" s="129" t="s">
        <v>13</v>
      </c>
      <c r="W1" s="125"/>
      <c r="X1" s="125"/>
      <c r="Y1" s="125"/>
      <c r="Z1" s="130" t="s">
        <v>14</v>
      </c>
      <c r="AA1" s="125"/>
      <c r="AB1" s="125"/>
      <c r="AC1" s="125"/>
      <c r="AD1" s="5"/>
      <c r="AE1" s="5"/>
      <c r="AF1" s="5"/>
      <c r="AG1" s="5"/>
      <c r="AH1" s="5"/>
      <c r="AI1" s="5"/>
    </row>
    <row r="2" spans="1:35" ht="24" customHeight="1">
      <c r="A2" s="125"/>
      <c r="B2" s="125"/>
      <c r="C2" s="125"/>
      <c r="D2" s="125"/>
      <c r="E2" s="125"/>
      <c r="F2" s="125"/>
      <c r="G2" s="125"/>
      <c r="H2" s="125"/>
      <c r="I2" s="125"/>
      <c r="J2" s="1" t="s">
        <v>15</v>
      </c>
      <c r="K2" s="1" t="s">
        <v>16</v>
      </c>
      <c r="L2" s="1" t="s">
        <v>17</v>
      </c>
      <c r="M2" s="1" t="s">
        <v>18</v>
      </c>
      <c r="N2" s="2" t="s">
        <v>15</v>
      </c>
      <c r="O2" s="2" t="s">
        <v>16</v>
      </c>
      <c r="P2" s="2" t="s">
        <v>17</v>
      </c>
      <c r="Q2" s="2" t="s">
        <v>18</v>
      </c>
      <c r="R2" s="3" t="s">
        <v>15</v>
      </c>
      <c r="S2" s="3" t="s">
        <v>16</v>
      </c>
      <c r="T2" s="3" t="s">
        <v>17</v>
      </c>
      <c r="U2" s="3" t="s">
        <v>18</v>
      </c>
      <c r="V2" s="4" t="s">
        <v>15</v>
      </c>
      <c r="W2" s="4" t="s">
        <v>16</v>
      </c>
      <c r="X2" s="4" t="s">
        <v>17</v>
      </c>
      <c r="Y2" s="4" t="s">
        <v>18</v>
      </c>
      <c r="Z2" s="5" t="s">
        <v>15</v>
      </c>
      <c r="AA2" s="5" t="s">
        <v>16</v>
      </c>
      <c r="AB2" s="5" t="s">
        <v>17</v>
      </c>
      <c r="AC2" s="5" t="s">
        <v>18</v>
      </c>
      <c r="AD2" s="5"/>
      <c r="AE2" s="5"/>
      <c r="AF2" s="5"/>
      <c r="AG2" s="5"/>
      <c r="AH2" s="5"/>
      <c r="AI2" s="5"/>
    </row>
    <row r="3" spans="1:35" ht="14">
      <c r="A3" s="6">
        <v>1</v>
      </c>
      <c r="B3" s="6" t="s">
        <v>19</v>
      </c>
      <c r="C3" s="7" t="s">
        <v>20</v>
      </c>
      <c r="D3" s="8">
        <v>183</v>
      </c>
      <c r="E3" s="8">
        <v>10660</v>
      </c>
      <c r="F3" s="8">
        <v>3</v>
      </c>
      <c r="G3" s="8">
        <v>23.35</v>
      </c>
      <c r="H3" s="8">
        <v>1.6890000000000001</v>
      </c>
      <c r="I3" s="8">
        <v>7.1040000000000001</v>
      </c>
      <c r="J3" s="8">
        <v>0.6401</v>
      </c>
      <c r="K3" s="8">
        <v>0.36670000000000003</v>
      </c>
      <c r="L3" s="8">
        <v>1.9890000000000001</v>
      </c>
      <c r="M3" s="8">
        <v>0.14829999999999999</v>
      </c>
      <c r="N3" s="8">
        <v>0.60260000000000002</v>
      </c>
      <c r="O3" s="8">
        <v>8.7099999999999997E-2</v>
      </c>
      <c r="P3" s="8">
        <v>1</v>
      </c>
      <c r="Q3" s="8">
        <v>0.35199999999999998</v>
      </c>
      <c r="R3" s="8">
        <v>0.14829999999999999</v>
      </c>
      <c r="S3" s="8">
        <v>3.4799999999999998E-2</v>
      </c>
      <c r="T3" s="8">
        <v>0.25359999999999999</v>
      </c>
      <c r="U3" s="8">
        <v>6.3100000000000003E-2</v>
      </c>
      <c r="V3" s="8">
        <v>3.8E-3</v>
      </c>
      <c r="W3" s="8">
        <v>1.0500000000000001E-2</v>
      </c>
      <c r="X3" s="8">
        <v>7.0800000000000002E-2</v>
      </c>
      <c r="Y3" s="8">
        <v>0</v>
      </c>
      <c r="Z3" s="8">
        <v>5.7000000000000002E-3</v>
      </c>
      <c r="AA3" s="8">
        <v>2.53E-2</v>
      </c>
      <c r="AB3" s="8">
        <v>0.2437</v>
      </c>
      <c r="AC3" s="8">
        <v>0</v>
      </c>
      <c r="AD3" s="8"/>
      <c r="AE3" s="8"/>
      <c r="AF3" s="8"/>
      <c r="AG3" s="8"/>
      <c r="AH3" s="8"/>
      <c r="AI3" s="8"/>
    </row>
    <row r="4" spans="1:35" ht="14">
      <c r="A4" s="6">
        <v>2</v>
      </c>
      <c r="B4" s="6" t="s">
        <v>21</v>
      </c>
      <c r="C4" s="7" t="s">
        <v>22</v>
      </c>
      <c r="D4" s="8">
        <v>174</v>
      </c>
      <c r="E4" s="8">
        <v>5390</v>
      </c>
      <c r="F4" s="8">
        <v>3</v>
      </c>
      <c r="G4" s="8">
        <v>14.9050632911392</v>
      </c>
      <c r="H4" s="8">
        <v>1.96751046442096</v>
      </c>
      <c r="I4" s="8">
        <v>5.5653754425607698</v>
      </c>
      <c r="J4" s="8">
        <v>0.35809999999999997</v>
      </c>
      <c r="K4" s="8">
        <v>0.13350000000000001</v>
      </c>
      <c r="L4" s="8">
        <v>0.9133</v>
      </c>
      <c r="M4" s="8">
        <v>3.4700000000000002E-2</v>
      </c>
      <c r="N4" s="8">
        <v>0.51149999999999995</v>
      </c>
      <c r="O4" s="8">
        <v>4.1099999999999998E-2</v>
      </c>
      <c r="P4" s="8">
        <v>0.65039999999999998</v>
      </c>
      <c r="Q4" s="8">
        <v>0.40610000000000002</v>
      </c>
      <c r="R4" s="8">
        <v>0.18410000000000001</v>
      </c>
      <c r="S4" s="8">
        <v>2.4500000000000001E-2</v>
      </c>
      <c r="T4" s="8">
        <v>0.23880000000000001</v>
      </c>
      <c r="U4" s="8">
        <v>9.2600000000000002E-2</v>
      </c>
      <c r="V4" s="8">
        <v>5.5999999999999999E-3</v>
      </c>
      <c r="W4" s="8">
        <v>2.1999999999999999E-2</v>
      </c>
      <c r="X4" s="8">
        <v>0.22309999999999999</v>
      </c>
      <c r="Y4" s="8">
        <v>0</v>
      </c>
      <c r="Z4" s="8">
        <v>5.7000000000000002E-3</v>
      </c>
      <c r="AA4" s="8">
        <v>2.3099999999999999E-2</v>
      </c>
      <c r="AB4" s="8">
        <v>0.2351</v>
      </c>
      <c r="AC4" s="8">
        <v>0</v>
      </c>
      <c r="AD4" s="8"/>
      <c r="AE4" s="8"/>
      <c r="AF4" s="8"/>
      <c r="AG4" s="8"/>
      <c r="AH4" s="8"/>
      <c r="AI4" s="8"/>
    </row>
    <row r="5" spans="1:35" ht="14">
      <c r="A5" s="6">
        <v>3</v>
      </c>
      <c r="B5" s="6" t="s">
        <v>23</v>
      </c>
      <c r="C5" s="7" t="s">
        <v>24</v>
      </c>
      <c r="D5" s="8">
        <v>167</v>
      </c>
      <c r="E5" s="8">
        <v>5281</v>
      </c>
      <c r="F5" s="8">
        <v>3</v>
      </c>
      <c r="G5" s="86">
        <v>23.42</v>
      </c>
      <c r="H5" s="10">
        <v>1.7824</v>
      </c>
      <c r="I5" s="10">
        <v>9.7100000000000009</v>
      </c>
      <c r="J5" s="16">
        <v>0.24341699999999999</v>
      </c>
      <c r="K5" s="16">
        <v>0.11133700000000001</v>
      </c>
      <c r="L5" s="16">
        <v>0.789157</v>
      </c>
      <c r="M5" s="16">
        <v>3.6144999999999997E-2</v>
      </c>
      <c r="N5" s="87">
        <v>0.56517200000000001</v>
      </c>
      <c r="O5" s="87">
        <v>4.8703999999999997E-2</v>
      </c>
      <c r="P5" s="87">
        <v>0.82587100000000002</v>
      </c>
      <c r="Q5" s="87">
        <v>0.28291814946619198</v>
      </c>
      <c r="R5" s="87">
        <v>0.1137</v>
      </c>
      <c r="S5" s="87">
        <v>3.5313999999999998E-2</v>
      </c>
      <c r="T5" s="87">
        <v>0.17478199999999999</v>
      </c>
      <c r="U5" s="87">
        <v>6.1074000000000003E-2</v>
      </c>
      <c r="V5" s="87">
        <v>4.7419999999999997E-3</v>
      </c>
      <c r="W5" s="87">
        <v>1.9429999999999999E-2</v>
      </c>
      <c r="X5" s="87">
        <v>0.22190599999999999</v>
      </c>
      <c r="Y5" s="10">
        <v>0</v>
      </c>
      <c r="Z5" s="87">
        <v>6.43E-3</v>
      </c>
      <c r="AA5" s="87">
        <v>2.5984E-2</v>
      </c>
      <c r="AB5" s="87">
        <v>0.202768</v>
      </c>
      <c r="AC5" s="10">
        <v>0</v>
      </c>
      <c r="AD5" s="10"/>
      <c r="AE5" s="10"/>
      <c r="AF5" s="10"/>
      <c r="AG5" s="10"/>
      <c r="AH5" s="10"/>
      <c r="AI5" s="10"/>
    </row>
    <row r="6" spans="1:35" ht="14">
      <c r="A6" s="6">
        <v>4</v>
      </c>
      <c r="B6" s="6" t="s">
        <v>25</v>
      </c>
      <c r="C6" s="7" t="s">
        <v>24</v>
      </c>
      <c r="D6" s="8">
        <v>132</v>
      </c>
      <c r="E6" s="8">
        <v>3239</v>
      </c>
      <c r="F6" s="8">
        <v>3</v>
      </c>
      <c r="G6" s="8">
        <v>1173.529</v>
      </c>
      <c r="H6" s="88">
        <v>1.843</v>
      </c>
      <c r="I6" s="8">
        <v>59.602449999999997</v>
      </c>
      <c r="J6" s="89">
        <v>0.37459999999999999</v>
      </c>
      <c r="K6" s="89">
        <v>0.25040000000000001</v>
      </c>
      <c r="L6" s="89">
        <v>1.95419847328244</v>
      </c>
      <c r="M6" s="89">
        <v>7.6335877862595394E-2</v>
      </c>
      <c r="N6" s="88">
        <v>0.54710000000000003</v>
      </c>
      <c r="O6" s="88">
        <v>5.5599999999999997E-2</v>
      </c>
      <c r="P6" s="88">
        <v>0.97037037037036999</v>
      </c>
      <c r="Q6" s="88">
        <v>0.40432098765432101</v>
      </c>
      <c r="R6" s="8">
        <v>2.1700000000000001E-2</v>
      </c>
      <c r="S6" s="8">
        <v>5.7299999999999999E-3</v>
      </c>
      <c r="T6" s="90">
        <v>3.1690000000000003E-2</v>
      </c>
      <c r="U6" s="8">
        <v>1.6800000000000001E-3</v>
      </c>
      <c r="V6" s="88">
        <v>6.4999999999999997E-3</v>
      </c>
      <c r="W6" s="88">
        <v>4.9700000000000001E-2</v>
      </c>
      <c r="X6" s="88">
        <v>0.56668725369680895</v>
      </c>
      <c r="Y6" s="88">
        <v>0</v>
      </c>
      <c r="Z6" s="8">
        <v>6.4799999999999996E-3</v>
      </c>
      <c r="AA6" s="8">
        <v>4.9700000000000001E-2</v>
      </c>
      <c r="AB6" s="8">
        <v>0.56668700000000005</v>
      </c>
      <c r="AC6" s="8">
        <v>0</v>
      </c>
      <c r="AD6" s="8"/>
      <c r="AE6" s="8"/>
      <c r="AF6" s="8"/>
      <c r="AG6" s="8"/>
      <c r="AH6" s="8"/>
      <c r="AI6" s="8"/>
    </row>
    <row r="7" spans="1:35" ht="14">
      <c r="A7" s="6">
        <v>5</v>
      </c>
      <c r="B7" s="6" t="s">
        <v>26</v>
      </c>
      <c r="C7" s="7" t="s">
        <v>20</v>
      </c>
      <c r="D7" s="8">
        <v>166</v>
      </c>
      <c r="E7" s="8">
        <v>9773</v>
      </c>
      <c r="F7" s="8">
        <v>3</v>
      </c>
      <c r="G7" s="91">
        <v>28.092216981132001</v>
      </c>
      <c r="H7" s="10">
        <v>1.64538152610441</v>
      </c>
      <c r="I7" s="91">
        <v>8.78640968541111</v>
      </c>
      <c r="J7" s="10">
        <v>0.71361810879883103</v>
      </c>
      <c r="K7" s="10">
        <v>0.33235921705711202</v>
      </c>
      <c r="L7" s="10">
        <v>1.8969696969696901</v>
      </c>
      <c r="M7" s="10">
        <v>0.18181818181818099</v>
      </c>
      <c r="N7" s="10">
        <v>0.61416285084254596</v>
      </c>
      <c r="O7" s="10">
        <v>6.8182365826667202E-2</v>
      </c>
      <c r="P7" s="10">
        <v>0.976331360946745</v>
      </c>
      <c r="Q7" s="10">
        <v>0.51401869158878499</v>
      </c>
      <c r="R7" s="10">
        <v>0.12049965695400799</v>
      </c>
      <c r="S7" s="10">
        <v>2.7923535471395301E-2</v>
      </c>
      <c r="T7" s="10">
        <v>0.21415579822901801</v>
      </c>
      <c r="U7" s="10">
        <v>4.9066807049657601E-2</v>
      </c>
      <c r="V7" s="92">
        <v>3.9352532079537598E-3</v>
      </c>
      <c r="W7" s="92">
        <v>1.12308075751165E-2</v>
      </c>
      <c r="X7" s="92">
        <v>9.5392332560914006E-2</v>
      </c>
      <c r="Y7" s="58">
        <v>0</v>
      </c>
      <c r="Z7" s="10">
        <v>5.6106911014345597E-3</v>
      </c>
      <c r="AA7" s="10">
        <v>3.5755222642581803E-2</v>
      </c>
      <c r="AB7" s="10">
        <v>0.368104828775561</v>
      </c>
      <c r="AC7" s="8">
        <v>0</v>
      </c>
      <c r="AD7" s="8"/>
      <c r="AE7" s="8"/>
      <c r="AF7" s="8"/>
      <c r="AG7" s="8"/>
      <c r="AH7" s="8"/>
      <c r="AI7" s="8"/>
    </row>
    <row r="8" spans="1:35" ht="14">
      <c r="A8" s="6">
        <v>6</v>
      </c>
      <c r="B8" s="6" t="s">
        <v>27</v>
      </c>
      <c r="C8" s="7" t="s">
        <v>24</v>
      </c>
      <c r="D8" s="8"/>
      <c r="E8" s="8"/>
      <c r="F8" s="8"/>
      <c r="G8" s="93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</row>
    <row r="9" spans="1:35" ht="14">
      <c r="A9" s="6">
        <v>7</v>
      </c>
      <c r="B9" s="6" t="s">
        <v>28</v>
      </c>
      <c r="C9" s="7" t="s">
        <v>22</v>
      </c>
      <c r="D9" s="8">
        <v>142</v>
      </c>
      <c r="E9" s="8">
        <v>4494</v>
      </c>
      <c r="F9" s="8">
        <v>3</v>
      </c>
      <c r="G9" s="94">
        <v>27.969823000000002</v>
      </c>
      <c r="H9" s="95">
        <v>1.9979020000000001</v>
      </c>
      <c r="I9" s="94">
        <v>9.8056459999999994</v>
      </c>
      <c r="J9" s="96">
        <v>0.44890600000000003</v>
      </c>
      <c r="K9" s="96">
        <v>0.190855</v>
      </c>
      <c r="L9" s="96">
        <v>1.588652</v>
      </c>
      <c r="M9" s="97">
        <v>2.8368999999999998E-2</v>
      </c>
      <c r="N9" s="94">
        <v>0.50789099999999998</v>
      </c>
      <c r="O9" s="94">
        <v>6.4824999999999994E-2</v>
      </c>
      <c r="P9" s="94">
        <v>0.82941200000000004</v>
      </c>
      <c r="Q9" s="94">
        <v>0.38419599999999998</v>
      </c>
      <c r="R9" s="94">
        <v>0.104561</v>
      </c>
      <c r="S9" s="94">
        <v>2.1079000000000001E-2</v>
      </c>
      <c r="T9" s="94">
        <v>0.16957900000000001</v>
      </c>
      <c r="U9" s="94">
        <v>5.7027000000000001E-2</v>
      </c>
      <c r="V9" s="94">
        <v>7.1279999999999998E-3</v>
      </c>
      <c r="W9" s="94">
        <v>3.7650999999999997E-2</v>
      </c>
      <c r="X9" s="94">
        <v>0.41177599999999998</v>
      </c>
      <c r="Y9" s="94">
        <v>0</v>
      </c>
      <c r="Z9" s="94">
        <v>8.5059999999999997E-3</v>
      </c>
      <c r="AA9" s="94">
        <v>4.6621999999999997E-2</v>
      </c>
      <c r="AB9" s="94">
        <v>0.46011800000000003</v>
      </c>
      <c r="AC9" s="94">
        <v>0</v>
      </c>
      <c r="AD9" s="94"/>
      <c r="AE9" s="94"/>
      <c r="AF9" s="94"/>
      <c r="AG9" s="94"/>
      <c r="AH9" s="94"/>
      <c r="AI9" s="94"/>
    </row>
    <row r="10" spans="1:35" ht="14">
      <c r="A10" s="6">
        <v>8</v>
      </c>
      <c r="B10" s="6" t="s">
        <v>29</v>
      </c>
      <c r="C10" s="7" t="s">
        <v>24</v>
      </c>
      <c r="D10" s="8">
        <v>87</v>
      </c>
      <c r="E10" s="8">
        <v>3057</v>
      </c>
      <c r="F10" s="8">
        <v>3</v>
      </c>
      <c r="G10" s="8">
        <v>18.273451999999999</v>
      </c>
      <c r="H10" s="8">
        <v>1.598236</v>
      </c>
      <c r="I10" s="8">
        <v>7.657788</v>
      </c>
      <c r="J10" s="8">
        <v>0.81716100000000003</v>
      </c>
      <c r="K10" s="8">
        <v>0.35294999999999999</v>
      </c>
      <c r="L10" s="8">
        <v>1.8255809999999999</v>
      </c>
      <c r="M10" s="8">
        <v>0.29069800000000001</v>
      </c>
      <c r="N10" s="8">
        <v>0.63573800000000003</v>
      </c>
      <c r="O10" s="8">
        <v>9.1047000000000003E-2</v>
      </c>
      <c r="P10" s="8">
        <v>0.91489399999999999</v>
      </c>
      <c r="Q10" s="8">
        <v>0.530864</v>
      </c>
      <c r="R10" s="8">
        <v>0.13604830800000001</v>
      </c>
      <c r="S10" s="8">
        <v>2.9721166E-2</v>
      </c>
      <c r="T10" s="8">
        <v>0.21198361199999999</v>
      </c>
      <c r="U10" s="8">
        <v>0.10465727499999999</v>
      </c>
      <c r="V10" s="8">
        <v>7.038E-3</v>
      </c>
      <c r="W10" s="8">
        <v>1.7153000000000002E-2</v>
      </c>
      <c r="X10" s="8">
        <v>6.7285999999999999E-2</v>
      </c>
      <c r="Y10" s="8">
        <v>0</v>
      </c>
      <c r="Z10" s="8">
        <v>7.2979999999999998E-3</v>
      </c>
      <c r="AA10" s="8">
        <v>2.1933999999999999E-2</v>
      </c>
      <c r="AB10" s="8">
        <v>0.13638800000000001</v>
      </c>
      <c r="AC10" s="8">
        <v>0</v>
      </c>
      <c r="AD10" s="8"/>
      <c r="AE10" s="8"/>
      <c r="AF10" s="8"/>
      <c r="AG10" s="8"/>
      <c r="AH10" s="8"/>
      <c r="AI10" s="8"/>
    </row>
    <row r="11" spans="1:35" ht="14">
      <c r="A11" s="6">
        <v>9</v>
      </c>
      <c r="B11" s="6" t="s">
        <v>30</v>
      </c>
      <c r="C11" s="7" t="s">
        <v>20</v>
      </c>
      <c r="D11" s="8">
        <v>167</v>
      </c>
      <c r="E11" s="8">
        <v>2405</v>
      </c>
      <c r="F11" s="8">
        <v>4</v>
      </c>
      <c r="G11" s="8">
        <v>2064.83717434869</v>
      </c>
      <c r="H11" s="8">
        <v>2.04350335473631</v>
      </c>
      <c r="I11" s="8">
        <v>939.73611766814804</v>
      </c>
      <c r="J11" s="98">
        <v>0.173508</v>
      </c>
      <c r="K11" s="99">
        <v>8.8659000000000002E-2</v>
      </c>
      <c r="L11" s="99">
        <v>0.56024099999999999</v>
      </c>
      <c r="M11" s="98">
        <v>2.4095999999999999E-2</v>
      </c>
      <c r="N11" s="98">
        <v>0.49595699999999998</v>
      </c>
      <c r="O11" s="98">
        <v>5.8458999999999997E-2</v>
      </c>
      <c r="P11" s="98">
        <v>0.69456099999999998</v>
      </c>
      <c r="Q11" s="98">
        <v>0.35021099999999999</v>
      </c>
      <c r="R11" s="98">
        <v>1.1019999999999999E-3</v>
      </c>
      <c r="S11" s="98">
        <v>2.05E-4</v>
      </c>
      <c r="T11" s="98">
        <v>1.5740000000000001E-3</v>
      </c>
      <c r="U11" s="98">
        <v>7.3300000000000004E-4</v>
      </c>
      <c r="V11" s="98">
        <v>6.3239999999999998E-3</v>
      </c>
      <c r="W11" s="98">
        <v>1.4690999999999999E-2</v>
      </c>
      <c r="X11" s="98">
        <v>0.100992</v>
      </c>
      <c r="Y11" s="98">
        <v>0</v>
      </c>
      <c r="Z11" s="98">
        <v>2.8969999999999999E-2</v>
      </c>
      <c r="AA11" s="98">
        <v>2.6957999999999999E-2</v>
      </c>
      <c r="AB11" s="98">
        <v>0.15065200000000001</v>
      </c>
      <c r="AC11" s="98">
        <v>0</v>
      </c>
      <c r="AD11" s="98"/>
      <c r="AE11" s="98"/>
      <c r="AF11" s="98"/>
      <c r="AG11" s="98"/>
      <c r="AH11" s="98"/>
      <c r="AI11" s="98"/>
    </row>
    <row r="12" spans="1:35" ht="14">
      <c r="A12" s="6">
        <v>10</v>
      </c>
      <c r="B12" s="30" t="s">
        <v>31</v>
      </c>
      <c r="C12" s="31" t="s">
        <v>20</v>
      </c>
      <c r="D12" s="100" t="s">
        <v>63</v>
      </c>
      <c r="E12" s="100" t="s">
        <v>64</v>
      </c>
      <c r="F12" s="8">
        <v>3</v>
      </c>
      <c r="G12" s="94">
        <v>4198.75</v>
      </c>
      <c r="H12" s="94">
        <v>1.33</v>
      </c>
      <c r="I12" s="94">
        <v>1588.5</v>
      </c>
      <c r="J12" s="94">
        <v>0.67320000000000002</v>
      </c>
      <c r="K12" s="101">
        <v>0.19819999999999999</v>
      </c>
      <c r="L12" s="101">
        <v>0.98450000000000004</v>
      </c>
      <c r="M12" s="94">
        <v>0.24030000000000001</v>
      </c>
      <c r="N12" s="94">
        <v>0.7702</v>
      </c>
      <c r="O12" s="94">
        <v>0.113</v>
      </c>
      <c r="P12" s="94">
        <v>0.98470000000000002</v>
      </c>
      <c r="Q12" s="94">
        <v>0.56330000000000002</v>
      </c>
      <c r="R12" s="94">
        <v>6.9999999999999999E-4</v>
      </c>
      <c r="S12" s="94">
        <v>2.0000000000000001E-4</v>
      </c>
      <c r="T12" s="94">
        <v>1E-3</v>
      </c>
      <c r="U12" s="94">
        <v>4.0000000000000002E-4</v>
      </c>
      <c r="V12" s="94">
        <v>2.5999999999999999E-3</v>
      </c>
      <c r="W12" s="94">
        <v>3.0000000000000001E-3</v>
      </c>
      <c r="X12" s="94">
        <v>1.0999999999999999E-2</v>
      </c>
      <c r="Y12" s="94">
        <v>0</v>
      </c>
      <c r="Z12" s="94">
        <v>6.0400000000000002E-2</v>
      </c>
      <c r="AA12" s="94">
        <v>4.5199999999999997E-2</v>
      </c>
      <c r="AB12" s="94">
        <v>0.2792</v>
      </c>
      <c r="AC12" s="94">
        <v>0</v>
      </c>
      <c r="AD12" s="94"/>
      <c r="AE12" s="94"/>
      <c r="AF12" s="94"/>
      <c r="AG12" s="94"/>
      <c r="AH12" s="94"/>
      <c r="AI12" s="94"/>
    </row>
    <row r="13" spans="1:35" ht="14">
      <c r="A13" s="6">
        <v>11</v>
      </c>
      <c r="B13" s="6" t="s">
        <v>32</v>
      </c>
      <c r="C13" s="7" t="s">
        <v>24</v>
      </c>
      <c r="D13" s="8">
        <v>73</v>
      </c>
      <c r="E13" s="8">
        <v>1680</v>
      </c>
      <c r="F13" s="8">
        <v>2</v>
      </c>
      <c r="G13" s="8">
        <v>67.099999999999994</v>
      </c>
      <c r="H13" s="8">
        <v>1.6803999999999999</v>
      </c>
      <c r="I13" s="8">
        <v>38.652500000000003</v>
      </c>
      <c r="J13" s="10">
        <v>0.3196</v>
      </c>
      <c r="K13" s="10">
        <v>0.1605</v>
      </c>
      <c r="L13" s="10">
        <v>1</v>
      </c>
      <c r="M13" s="8">
        <v>0.125</v>
      </c>
      <c r="N13" s="8">
        <v>0.60189999999999999</v>
      </c>
      <c r="O13" s="102">
        <v>7.2700000000000001E-2</v>
      </c>
      <c r="P13" s="8">
        <v>1</v>
      </c>
      <c r="Q13" s="8">
        <v>0.5333</v>
      </c>
      <c r="R13" s="8">
        <v>2.75E-2</v>
      </c>
      <c r="S13" s="8">
        <v>7.1000000000000004E-3</v>
      </c>
      <c r="T13" s="8">
        <v>4.8599999999999997E-2</v>
      </c>
      <c r="U13" s="8">
        <v>1.95E-2</v>
      </c>
      <c r="V13" s="8">
        <v>9.5999999999999992E-3</v>
      </c>
      <c r="W13" s="8">
        <v>4.9500000000000002E-2</v>
      </c>
      <c r="X13" s="8">
        <v>0.41289999999999999</v>
      </c>
      <c r="Y13" s="8">
        <v>0</v>
      </c>
      <c r="Z13" s="8">
        <v>0.01</v>
      </c>
      <c r="AA13" s="8">
        <v>6.0999999999999999E-2</v>
      </c>
      <c r="AB13" s="8">
        <v>0.51300000000000001</v>
      </c>
      <c r="AC13" s="8">
        <v>0</v>
      </c>
      <c r="AD13" s="8"/>
      <c r="AE13" s="8"/>
      <c r="AF13" s="8"/>
      <c r="AG13" s="8"/>
      <c r="AH13" s="8"/>
      <c r="AI13" s="8"/>
    </row>
    <row r="14" spans="1:35" ht="14">
      <c r="A14" s="6">
        <v>12</v>
      </c>
      <c r="B14" s="6" t="s">
        <v>33</v>
      </c>
      <c r="C14" s="7" t="s">
        <v>20</v>
      </c>
      <c r="D14" s="13">
        <v>133</v>
      </c>
      <c r="E14" s="13">
        <v>5472</v>
      </c>
      <c r="F14" s="13">
        <v>4</v>
      </c>
      <c r="G14" s="10">
        <v>149.28569999999999</v>
      </c>
      <c r="H14" s="10">
        <v>1.7393000000000001</v>
      </c>
      <c r="I14" s="10">
        <v>12.5062</v>
      </c>
      <c r="J14" s="10">
        <v>0.62339999999999995</v>
      </c>
      <c r="K14" s="10">
        <v>0.29730000000000001</v>
      </c>
      <c r="L14" s="10">
        <v>1.4470000000000001</v>
      </c>
      <c r="M14" s="38">
        <v>0.15909999999999999</v>
      </c>
      <c r="N14" s="38">
        <v>0.58309999999999995</v>
      </c>
      <c r="O14" s="38">
        <v>6.6299999999999998E-2</v>
      </c>
      <c r="P14" s="38">
        <v>0.77649999999999997</v>
      </c>
      <c r="Q14" s="38">
        <v>0.33329999999999999</v>
      </c>
      <c r="R14" s="35">
        <v>9.1655E-2</v>
      </c>
      <c r="S14" s="35">
        <v>2.0424000000000001E-2</v>
      </c>
      <c r="T14" s="35">
        <v>0.135685</v>
      </c>
      <c r="U14" s="35">
        <v>1.2260999999999999E-2</v>
      </c>
      <c r="V14" s="35">
        <v>5.6429999999999996E-3</v>
      </c>
      <c r="W14" s="35">
        <v>9.9919999999999991E-3</v>
      </c>
      <c r="X14" s="35">
        <v>5.8740000000000001E-2</v>
      </c>
      <c r="Y14" s="10">
        <v>0</v>
      </c>
      <c r="Z14" s="35">
        <v>7.7559999999999999E-3</v>
      </c>
      <c r="AA14" s="35">
        <v>2.9441999999999999E-2</v>
      </c>
      <c r="AB14" s="35">
        <v>0.24789600000000001</v>
      </c>
      <c r="AC14" s="10">
        <v>0</v>
      </c>
      <c r="AD14" s="10"/>
      <c r="AE14" s="10"/>
      <c r="AF14" s="10"/>
      <c r="AG14" s="10"/>
      <c r="AH14" s="10"/>
      <c r="AI14" s="10"/>
    </row>
    <row r="15" spans="1:35" ht="14">
      <c r="A15" s="6">
        <v>13</v>
      </c>
      <c r="B15" s="6" t="s">
        <v>34</v>
      </c>
      <c r="C15" s="7" t="s">
        <v>20</v>
      </c>
      <c r="D15" s="8"/>
      <c r="E15" s="8"/>
      <c r="F15" s="8"/>
      <c r="G15" s="8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</row>
    <row r="16" spans="1:35" ht="14">
      <c r="A16" s="6">
        <v>14</v>
      </c>
      <c r="B16" s="6" t="s">
        <v>35</v>
      </c>
      <c r="C16" s="7" t="s">
        <v>22</v>
      </c>
      <c r="D16" s="8">
        <v>270</v>
      </c>
      <c r="E16" s="8">
        <v>12713</v>
      </c>
      <c r="F16" s="8">
        <v>3</v>
      </c>
      <c r="G16" s="103">
        <v>22.96</v>
      </c>
      <c r="H16" s="8">
        <v>1.83</v>
      </c>
      <c r="I16" s="8">
        <v>2.08</v>
      </c>
      <c r="J16" s="8">
        <v>0.182</v>
      </c>
      <c r="K16" s="8">
        <v>8.5999999999999993E-2</v>
      </c>
      <c r="L16" s="8">
        <v>0.61299999999999999</v>
      </c>
      <c r="M16" s="8">
        <v>5.5E-2</v>
      </c>
      <c r="N16" s="8">
        <v>0.54800000000000004</v>
      </c>
      <c r="O16" s="8">
        <v>3.1E-2</v>
      </c>
      <c r="P16" s="8">
        <v>0.72099999999999997</v>
      </c>
      <c r="Q16" s="8">
        <v>0.496</v>
      </c>
      <c r="R16" s="8">
        <v>0.58899999999999997</v>
      </c>
      <c r="S16" s="8">
        <v>0.2</v>
      </c>
      <c r="T16" s="8">
        <v>0.86199999999999999</v>
      </c>
      <c r="U16" s="8">
        <v>5.8999999999999997E-2</v>
      </c>
      <c r="V16" s="8">
        <v>3.0999999999999999E-3</v>
      </c>
      <c r="W16" s="8">
        <v>0.01</v>
      </c>
      <c r="X16" s="8">
        <v>9.4E-2</v>
      </c>
      <c r="Y16" s="8">
        <v>0</v>
      </c>
      <c r="Z16" s="8">
        <v>5.4999999999999997E-3</v>
      </c>
      <c r="AA16" s="8">
        <v>2.0199999999999999E-2</v>
      </c>
      <c r="AB16" s="8">
        <v>0.18479999999999999</v>
      </c>
      <c r="AC16" s="8">
        <v>0</v>
      </c>
      <c r="AD16" s="8"/>
      <c r="AE16" s="8"/>
      <c r="AF16" s="8"/>
      <c r="AG16" s="8"/>
      <c r="AH16" s="8"/>
      <c r="AI16" s="8"/>
    </row>
    <row r="17" spans="1:35" ht="14">
      <c r="A17" s="6">
        <v>15</v>
      </c>
      <c r="B17" s="6" t="s">
        <v>36</v>
      </c>
      <c r="C17" s="7" t="s">
        <v>22</v>
      </c>
      <c r="D17" s="8">
        <v>242</v>
      </c>
      <c r="E17" s="8">
        <v>7482</v>
      </c>
      <c r="F17" s="8">
        <v>4</v>
      </c>
      <c r="G17" s="8">
        <v>13.792199999999999</v>
      </c>
      <c r="H17" s="8">
        <v>2.1627999999999998</v>
      </c>
      <c r="I17" s="8">
        <v>6.5385</v>
      </c>
      <c r="J17" s="8">
        <v>0.25657600000000003</v>
      </c>
      <c r="K17" s="8">
        <v>0.112377</v>
      </c>
      <c r="L17" s="8">
        <v>0.85477199999999998</v>
      </c>
      <c r="M17" s="8">
        <v>4.9792999999999997E-2</v>
      </c>
      <c r="N17" s="8">
        <v>0.46925699999999998</v>
      </c>
      <c r="O17" s="8">
        <v>5.4150999999999998E-2</v>
      </c>
      <c r="P17" s="8">
        <v>0.60250000000000004</v>
      </c>
      <c r="Q17" s="8">
        <v>0.33895900000000001</v>
      </c>
      <c r="R17" s="8">
        <v>0.15726200000000001</v>
      </c>
      <c r="S17" s="8">
        <v>2.4341999999999999E-2</v>
      </c>
      <c r="T17" s="8">
        <v>0.22728100000000001</v>
      </c>
      <c r="U17" s="8">
        <v>0.103382</v>
      </c>
      <c r="V17" s="8">
        <v>4.8450000000000003E-3</v>
      </c>
      <c r="W17" s="8">
        <v>1.8277999999999999E-2</v>
      </c>
      <c r="X17" s="8">
        <v>0.199793</v>
      </c>
      <c r="Y17" s="8">
        <v>0</v>
      </c>
      <c r="Z17" s="8">
        <v>4.8830000000000002E-3</v>
      </c>
      <c r="AA17" s="8">
        <v>1.8876E-2</v>
      </c>
      <c r="AB17" s="8">
        <v>0.199793</v>
      </c>
      <c r="AC17" s="8">
        <v>0</v>
      </c>
      <c r="AD17" s="8"/>
      <c r="AE17" s="8"/>
      <c r="AF17" s="8"/>
      <c r="AG17" s="8"/>
      <c r="AH17" s="8"/>
      <c r="AI17" s="8"/>
    </row>
    <row r="18" spans="1:35" ht="14">
      <c r="A18" s="6">
        <v>16</v>
      </c>
      <c r="B18" s="6" t="s">
        <v>37</v>
      </c>
      <c r="C18" s="7" t="s">
        <v>20</v>
      </c>
      <c r="D18" s="8">
        <v>238</v>
      </c>
      <c r="E18" s="8">
        <v>14957</v>
      </c>
      <c r="F18" s="8">
        <v>4</v>
      </c>
      <c r="G18" s="8">
        <v>591.20285195668203</v>
      </c>
      <c r="H18" s="94">
        <v>1.80500301386377</v>
      </c>
      <c r="I18" s="94">
        <v>11.4395748487247</v>
      </c>
      <c r="J18" s="8">
        <v>0.52839000000000003</v>
      </c>
      <c r="K18" s="8">
        <v>0.29559999999999997</v>
      </c>
      <c r="L18" s="8">
        <v>1.8445</v>
      </c>
      <c r="M18" s="8">
        <v>0.15959999999999999</v>
      </c>
      <c r="N18" s="8">
        <v>0.56106500000000004</v>
      </c>
      <c r="O18" s="8">
        <v>6.7799999999999999E-2</v>
      </c>
      <c r="P18" s="8">
        <v>0.89810000000000001</v>
      </c>
      <c r="Q18" s="8">
        <v>0.4153</v>
      </c>
      <c r="R18" s="8">
        <v>0.12590000000000001</v>
      </c>
      <c r="S18" s="8">
        <v>4.0160000000000001E-2</v>
      </c>
      <c r="T18" s="8">
        <v>0.18990000000000001</v>
      </c>
      <c r="U18" s="8">
        <v>1.74E-3</v>
      </c>
      <c r="V18" s="8">
        <v>3.4000000000000002E-2</v>
      </c>
      <c r="W18" s="8">
        <v>1.0160000000000001E-2</v>
      </c>
      <c r="X18" s="8">
        <v>8.498E-2</v>
      </c>
      <c r="Y18" s="8">
        <v>0</v>
      </c>
      <c r="Z18" s="8">
        <v>5.7600000000000004E-3</v>
      </c>
      <c r="AA18" s="8">
        <v>3.2199999999999999E-2</v>
      </c>
      <c r="AB18" s="8">
        <v>0.36276999999999998</v>
      </c>
      <c r="AC18" s="8">
        <v>0</v>
      </c>
      <c r="AD18" s="8"/>
      <c r="AE18" s="8"/>
      <c r="AF18" s="8"/>
      <c r="AG18" s="8"/>
      <c r="AH18" s="8"/>
      <c r="AI18" s="8"/>
    </row>
    <row r="19" spans="1:35" ht="14">
      <c r="A19" s="6">
        <v>17</v>
      </c>
      <c r="B19" s="6" t="s">
        <v>38</v>
      </c>
      <c r="C19" s="7" t="s">
        <v>20</v>
      </c>
      <c r="D19" s="8">
        <v>89</v>
      </c>
      <c r="E19" s="8">
        <v>2586</v>
      </c>
      <c r="F19" s="8">
        <v>3</v>
      </c>
      <c r="G19" s="8">
        <v>19.1098</v>
      </c>
      <c r="H19" s="8">
        <v>1.7990299999999999</v>
      </c>
      <c r="I19" s="8">
        <v>11.251300000000001</v>
      </c>
      <c r="J19" s="104">
        <v>0.66</v>
      </c>
      <c r="K19" s="8">
        <v>0.20960100000000001</v>
      </c>
      <c r="L19" s="103">
        <v>1.5</v>
      </c>
      <c r="M19" s="8">
        <v>0.38640000000000002</v>
      </c>
      <c r="N19" s="8">
        <v>0.562782</v>
      </c>
      <c r="O19" s="8">
        <v>6.6753000000000007E-2</v>
      </c>
      <c r="P19" s="8">
        <v>0.8</v>
      </c>
      <c r="Q19" s="8">
        <v>0.49717499999999998</v>
      </c>
      <c r="R19" s="8">
        <v>0.14314499999999999</v>
      </c>
      <c r="S19" s="8">
        <v>3.2964E-2</v>
      </c>
      <c r="T19" s="8">
        <v>0.211288</v>
      </c>
      <c r="U19" s="8">
        <v>8.2500000000000004E-2</v>
      </c>
      <c r="V19" s="8">
        <v>9.1839999999999995E-3</v>
      </c>
      <c r="W19" s="8">
        <v>2.5434999999999999E-2</v>
      </c>
      <c r="X19" s="8">
        <v>0.13936599999999999</v>
      </c>
      <c r="Y19" s="8">
        <v>0</v>
      </c>
      <c r="Z19" s="8">
        <v>9.214E-3</v>
      </c>
      <c r="AA19" s="8">
        <v>2.9182E-2</v>
      </c>
      <c r="AB19" s="8">
        <v>0.18610699999999999</v>
      </c>
      <c r="AC19" s="8">
        <v>0</v>
      </c>
      <c r="AD19" s="8"/>
      <c r="AE19" s="8"/>
      <c r="AF19" s="8"/>
      <c r="AG19" s="8"/>
      <c r="AH19" s="8"/>
      <c r="AI19" s="8"/>
    </row>
    <row r="20" spans="1:35" ht="14">
      <c r="A20" s="6">
        <v>18</v>
      </c>
      <c r="B20" s="6" t="s">
        <v>39</v>
      </c>
      <c r="C20" s="7" t="s">
        <v>22</v>
      </c>
      <c r="D20" s="8">
        <v>425</v>
      </c>
      <c r="E20" s="8">
        <v>13330</v>
      </c>
      <c r="F20" s="8">
        <v>3</v>
      </c>
      <c r="G20" s="105">
        <v>27.634872000000001</v>
      </c>
      <c r="H20" s="105">
        <v>2.0015209999999999</v>
      </c>
      <c r="I20" s="105">
        <v>8.3729890000000005</v>
      </c>
      <c r="J20" s="106">
        <v>0.147947</v>
      </c>
      <c r="K20" s="106">
        <v>8.4806999999999994E-2</v>
      </c>
      <c r="L20" s="107">
        <v>0.52122599999999997</v>
      </c>
      <c r="M20" s="106">
        <v>7.0749999999999997E-3</v>
      </c>
      <c r="N20" s="106">
        <v>0.50443400000000005</v>
      </c>
      <c r="O20" s="107">
        <v>4.9384999999999998E-2</v>
      </c>
      <c r="P20" s="107">
        <v>0.67623599999999995</v>
      </c>
      <c r="Q20" s="107">
        <v>0.36741800000000002</v>
      </c>
      <c r="R20" s="107">
        <v>0.12468700000000001</v>
      </c>
      <c r="S20" s="107">
        <v>2.4105999999999999E-2</v>
      </c>
      <c r="T20" s="107">
        <v>0.20024</v>
      </c>
      <c r="U20" s="107">
        <v>4.7771000000000001E-2</v>
      </c>
      <c r="V20" s="107">
        <v>2.3679999999999999E-3</v>
      </c>
      <c r="W20" s="107">
        <v>8.4469999999999996E-3</v>
      </c>
      <c r="X20" s="107">
        <v>8.4167000000000006E-2</v>
      </c>
      <c r="Y20" s="107">
        <v>0</v>
      </c>
      <c r="Z20" s="107">
        <v>3.2450000000000001E-3</v>
      </c>
      <c r="AA20" s="107">
        <v>1.9428000000000001E-2</v>
      </c>
      <c r="AB20" s="107">
        <v>0.208423</v>
      </c>
      <c r="AC20" s="107">
        <v>0</v>
      </c>
      <c r="AD20" s="8"/>
      <c r="AE20" s="8"/>
      <c r="AF20" s="8"/>
      <c r="AG20" s="8"/>
      <c r="AH20" s="8"/>
      <c r="AI20" s="8"/>
    </row>
    <row r="21" spans="1:35" ht="14">
      <c r="A21" s="6">
        <v>19</v>
      </c>
      <c r="B21" s="6" t="s">
        <v>40</v>
      </c>
      <c r="C21" s="7" t="s">
        <v>20</v>
      </c>
      <c r="D21" s="8">
        <v>90</v>
      </c>
      <c r="E21" s="8">
        <v>2002</v>
      </c>
      <c r="F21" s="8">
        <v>3</v>
      </c>
      <c r="G21" s="8">
        <v>4.9800000000000004</v>
      </c>
      <c r="H21" s="8">
        <v>1.5041</v>
      </c>
      <c r="I21" s="8">
        <v>1.7418</v>
      </c>
      <c r="J21" s="8">
        <v>0.49990000000000001</v>
      </c>
      <c r="K21" s="8">
        <v>0.16550000000000001</v>
      </c>
      <c r="L21" s="8">
        <v>0.97750000000000004</v>
      </c>
      <c r="M21" s="8">
        <v>0.23599999999999999</v>
      </c>
      <c r="N21" s="8">
        <v>9.2299999999999993E-2</v>
      </c>
      <c r="O21" s="8">
        <v>2.3400000000000001E-2</v>
      </c>
      <c r="P21" s="8">
        <v>0.1391</v>
      </c>
      <c r="Q21" s="8">
        <v>4.87E-2</v>
      </c>
      <c r="R21" s="8">
        <v>0.5867</v>
      </c>
      <c r="S21" s="8">
        <v>8.3099999999999993E-2</v>
      </c>
      <c r="T21" s="8">
        <v>0.87490000000000001</v>
      </c>
      <c r="U21" s="8">
        <v>0.26169999999999999</v>
      </c>
      <c r="V21" s="8">
        <v>5.7000000000000002E-3</v>
      </c>
      <c r="W21" s="8">
        <v>9.5999999999999992E-3</v>
      </c>
      <c r="X21" s="8">
        <v>5.5199999999999999E-2</v>
      </c>
      <c r="Y21" s="8">
        <v>0</v>
      </c>
      <c r="Z21" s="8">
        <v>6.0000000000000001E-3</v>
      </c>
      <c r="AA21" s="8">
        <v>0.02</v>
      </c>
      <c r="AB21" s="8">
        <v>0.1575</v>
      </c>
      <c r="AC21" s="8">
        <v>0</v>
      </c>
      <c r="AD21" s="8"/>
      <c r="AE21" s="8"/>
      <c r="AF21" s="8"/>
      <c r="AG21" s="8"/>
      <c r="AH21" s="8"/>
      <c r="AI21" s="8"/>
    </row>
    <row r="22" spans="1:35" ht="14">
      <c r="A22" s="6">
        <v>20</v>
      </c>
      <c r="B22" s="6" t="s">
        <v>41</v>
      </c>
      <c r="C22" s="7" t="s">
        <v>22</v>
      </c>
      <c r="D22" s="108">
        <v>306</v>
      </c>
      <c r="E22" s="108">
        <v>10318</v>
      </c>
      <c r="F22" s="108">
        <v>5</v>
      </c>
      <c r="G22" s="108">
        <v>12.4396</v>
      </c>
      <c r="H22" s="109">
        <v>2.0447000000000002</v>
      </c>
      <c r="I22" s="108">
        <v>3.4826000000000001</v>
      </c>
      <c r="J22" s="108">
        <v>0.221108</v>
      </c>
      <c r="K22" s="108">
        <v>0.11719400000000001</v>
      </c>
      <c r="L22" s="110">
        <v>0.79344300000000001</v>
      </c>
      <c r="M22" s="108">
        <v>1.9671999999999999E-2</v>
      </c>
      <c r="N22" s="108">
        <v>0.492948</v>
      </c>
      <c r="O22" s="108">
        <v>4.113E-2</v>
      </c>
      <c r="P22" s="108">
        <v>0.623722</v>
      </c>
      <c r="Q22" s="108">
        <v>0.272565</v>
      </c>
      <c r="R22" s="108">
        <v>0.29541000000000001</v>
      </c>
      <c r="S22" s="108">
        <v>4.4448000000000001E-2</v>
      </c>
      <c r="T22" s="108">
        <v>0.40337699999999999</v>
      </c>
      <c r="U22" s="108">
        <v>0.112327</v>
      </c>
      <c r="V22" s="108">
        <v>3.437E-3</v>
      </c>
      <c r="W22" s="108">
        <v>1.0182999999999999E-2</v>
      </c>
      <c r="X22" s="108">
        <v>7.6304999999999998E-2</v>
      </c>
      <c r="Y22" s="108">
        <v>0</v>
      </c>
      <c r="Z22" s="108">
        <v>3.4880000000000002E-3</v>
      </c>
      <c r="AA22" s="110">
        <v>1.2121E-2</v>
      </c>
      <c r="AB22" s="108">
        <v>0.101498</v>
      </c>
      <c r="AC22" s="108">
        <v>0</v>
      </c>
      <c r="AD22" s="108"/>
      <c r="AE22" s="108"/>
      <c r="AF22" s="108"/>
      <c r="AG22" s="108"/>
      <c r="AH22" s="108"/>
      <c r="AI22" s="108"/>
    </row>
    <row r="23" spans="1:35" ht="14">
      <c r="A23" s="6">
        <v>21</v>
      </c>
      <c r="B23" s="6" t="s">
        <v>42</v>
      </c>
      <c r="C23" s="7" t="s">
        <v>22</v>
      </c>
      <c r="D23" s="8">
        <v>50</v>
      </c>
      <c r="E23" s="8">
        <v>1190</v>
      </c>
      <c r="F23" s="8">
        <v>3</v>
      </c>
      <c r="G23" s="8">
        <v>20.503</v>
      </c>
      <c r="H23" s="8">
        <v>1.8539000000000001</v>
      </c>
      <c r="I23" s="8">
        <v>10.3795</v>
      </c>
      <c r="J23" s="8">
        <v>0.97140000000000004</v>
      </c>
      <c r="K23" s="8">
        <v>0.14399999999999999</v>
      </c>
      <c r="L23" s="8">
        <v>1.3469</v>
      </c>
      <c r="M23" s="8">
        <v>0.28570000000000001</v>
      </c>
      <c r="N23" s="8">
        <v>0.54600000000000004</v>
      </c>
      <c r="O23" s="8">
        <v>6.2399999999999997E-2</v>
      </c>
      <c r="P23" s="8">
        <v>0.75380000000000003</v>
      </c>
      <c r="Q23" s="8">
        <v>0.47570000000000001</v>
      </c>
      <c r="R23" s="8">
        <v>9.8100000000000007E-2</v>
      </c>
      <c r="S23" s="8">
        <v>1.47E-2</v>
      </c>
      <c r="T23" s="8">
        <v>0.13950000000000001</v>
      </c>
      <c r="U23" s="8">
        <v>8.72E-2</v>
      </c>
      <c r="V23" s="8">
        <v>1.779E-2</v>
      </c>
      <c r="W23" s="8">
        <v>7.3099999999999998E-2</v>
      </c>
      <c r="X23" s="8">
        <v>0.50849999999999995</v>
      </c>
      <c r="Y23" s="8">
        <v>0</v>
      </c>
      <c r="Z23" s="8">
        <v>1.8100000000000002E-2</v>
      </c>
      <c r="AA23" s="8">
        <v>7.4200000000000002E-2</v>
      </c>
      <c r="AB23" s="8">
        <v>0.50849999999999995</v>
      </c>
      <c r="AC23" s="8">
        <v>0</v>
      </c>
      <c r="AD23" s="8"/>
      <c r="AE23" s="8"/>
      <c r="AF23" s="8"/>
      <c r="AG23" s="8"/>
      <c r="AH23" s="8"/>
      <c r="AI23" s="8"/>
    </row>
    <row r="24" spans="1:35" ht="14">
      <c r="A24" s="6">
        <v>22</v>
      </c>
      <c r="B24" s="6" t="s">
        <v>43</v>
      </c>
      <c r="C24" s="7" t="s">
        <v>20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111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</row>
    <row r="25" spans="1:35" ht="14">
      <c r="A25" s="6">
        <v>23</v>
      </c>
      <c r="B25" s="6" t="s">
        <v>44</v>
      </c>
      <c r="C25" s="7" t="s">
        <v>45</v>
      </c>
      <c r="D25" s="8">
        <v>188</v>
      </c>
      <c r="E25" s="8">
        <v>8597</v>
      </c>
      <c r="F25" s="8">
        <v>4</v>
      </c>
      <c r="G25" s="8">
        <v>54.255299999999998</v>
      </c>
      <c r="H25" s="8">
        <v>1.7865</v>
      </c>
      <c r="I25" s="8">
        <v>11.801500000000001</v>
      </c>
      <c r="J25" s="8">
        <v>0.48909999999999998</v>
      </c>
      <c r="K25" s="8">
        <v>0.2843</v>
      </c>
      <c r="L25" s="8">
        <v>1.5134000000000001</v>
      </c>
      <c r="M25" s="8">
        <v>0.1123</v>
      </c>
      <c r="N25" s="8">
        <v>0.56589999999999996</v>
      </c>
      <c r="O25" s="8">
        <v>6.13E-2</v>
      </c>
      <c r="P25" s="8">
        <v>0.80259999999999998</v>
      </c>
      <c r="Q25" s="8">
        <v>0.35759999999999997</v>
      </c>
      <c r="R25" s="8">
        <v>9.0800000000000006E-2</v>
      </c>
      <c r="S25" s="8">
        <v>2.2700000000000001E-2</v>
      </c>
      <c r="T25" s="8">
        <v>0.14729999999999999</v>
      </c>
      <c r="U25" s="8">
        <v>2.8400000000000002E-2</v>
      </c>
      <c r="V25" s="8">
        <v>4.228E-3</v>
      </c>
      <c r="W25" s="8">
        <v>1.0290000000000001E-2</v>
      </c>
      <c r="X25" s="8">
        <v>7.1807999999999997E-2</v>
      </c>
      <c r="Y25" s="8">
        <v>0</v>
      </c>
      <c r="Z25" s="8">
        <v>5.3319999999999999E-3</v>
      </c>
      <c r="AA25" s="8">
        <v>1.873E-2</v>
      </c>
      <c r="AB25" s="8">
        <v>0.13861999999999999</v>
      </c>
      <c r="AC25" s="8">
        <v>0</v>
      </c>
      <c r="AD25" s="8"/>
      <c r="AE25" s="8"/>
      <c r="AF25" s="8"/>
      <c r="AG25" s="8"/>
      <c r="AH25" s="8"/>
      <c r="AI25" s="8"/>
    </row>
    <row r="26" spans="1:35" ht="14">
      <c r="A26" s="6">
        <v>24</v>
      </c>
      <c r="B26" s="6" t="s">
        <v>46</v>
      </c>
      <c r="C26" s="7" t="s">
        <v>22</v>
      </c>
      <c r="D26" s="8">
        <v>119</v>
      </c>
      <c r="E26" s="8">
        <v>2962</v>
      </c>
      <c r="F26" s="8">
        <v>3</v>
      </c>
      <c r="G26" s="112">
        <v>11.163399999999999</v>
      </c>
      <c r="H26" s="112">
        <v>1.8939999999999999</v>
      </c>
      <c r="I26" s="112">
        <v>5.5880000000000001</v>
      </c>
      <c r="J26" s="112">
        <v>0.421877</v>
      </c>
      <c r="K26" s="112">
        <v>0.159358</v>
      </c>
      <c r="L26" s="112">
        <v>0.91525400000000001</v>
      </c>
      <c r="M26" s="112">
        <v>8.4746000000000002E-2</v>
      </c>
      <c r="N26" s="112">
        <v>0.53207599999999999</v>
      </c>
      <c r="O26" s="112">
        <v>4.6266000000000002E-2</v>
      </c>
      <c r="P26" s="112">
        <v>0.63783800000000002</v>
      </c>
      <c r="Q26" s="112">
        <v>0.39202700000000001</v>
      </c>
      <c r="R26" s="112">
        <v>0.18559999999999999</v>
      </c>
      <c r="S26" s="112">
        <v>3.5140999999999999E-2</v>
      </c>
      <c r="T26" s="112">
        <v>0.26636900000000002</v>
      </c>
      <c r="U26" s="112">
        <v>0.120173</v>
      </c>
      <c r="V26" s="112">
        <v>7.6470000000000002E-3</v>
      </c>
      <c r="W26" s="112">
        <v>2.1246999999999999E-2</v>
      </c>
      <c r="X26" s="112">
        <v>0.106279</v>
      </c>
      <c r="Y26" s="8">
        <v>0</v>
      </c>
      <c r="Z26" s="112">
        <v>7.9319999999999998E-3</v>
      </c>
      <c r="AA26" s="112">
        <v>2.3813000000000001E-2</v>
      </c>
      <c r="AB26" s="112">
        <v>0.13189899999999999</v>
      </c>
      <c r="AC26" s="8">
        <v>0</v>
      </c>
      <c r="AD26" s="8"/>
      <c r="AE26" s="8"/>
      <c r="AF26" s="8"/>
      <c r="AG26" s="8"/>
      <c r="AH26" s="8"/>
      <c r="AI26" s="8"/>
    </row>
    <row r="27" spans="1:35" ht="14">
      <c r="A27" s="6">
        <v>25</v>
      </c>
      <c r="B27" s="6" t="s">
        <v>47</v>
      </c>
      <c r="C27" s="7" t="s">
        <v>20</v>
      </c>
      <c r="D27" s="108">
        <v>86</v>
      </c>
      <c r="E27" s="108">
        <v>2668</v>
      </c>
      <c r="F27" s="108">
        <v>2</v>
      </c>
      <c r="G27" s="113">
        <v>13.420999999999999</v>
      </c>
      <c r="H27" s="113">
        <v>1.635</v>
      </c>
      <c r="I27" s="113">
        <v>6.6440000000000001</v>
      </c>
      <c r="J27" s="114">
        <v>0.73</v>
      </c>
      <c r="K27" s="115">
        <v>0.27639999999999998</v>
      </c>
      <c r="L27" s="115">
        <v>1.8588</v>
      </c>
      <c r="M27" s="116">
        <v>0.25879999999999997</v>
      </c>
      <c r="N27" s="115">
        <v>0.61660000000000004</v>
      </c>
      <c r="O27" s="115">
        <v>5.9400000000000001E-2</v>
      </c>
      <c r="P27" s="115">
        <v>0.93410000000000004</v>
      </c>
      <c r="Q27" s="115">
        <v>0.53459999999999996</v>
      </c>
      <c r="R27" s="115">
        <v>0.15659999999999999</v>
      </c>
      <c r="S27" s="115">
        <v>3.1300000000000001E-2</v>
      </c>
      <c r="T27" s="115">
        <v>0.2477</v>
      </c>
      <c r="U27" s="115">
        <v>8.8499999999999995E-2</v>
      </c>
      <c r="V27" s="115">
        <v>7.5599999999999999E-3</v>
      </c>
      <c r="W27" s="115">
        <v>2.7099999999999999E-2</v>
      </c>
      <c r="X27" s="115">
        <v>0.24249999999999999</v>
      </c>
      <c r="Y27" s="115">
        <v>0</v>
      </c>
      <c r="Z27" s="115">
        <v>8.4700000000000001E-3</v>
      </c>
      <c r="AA27" s="115">
        <v>3.73E-2</v>
      </c>
      <c r="AB27" s="115">
        <v>0.30449999999999999</v>
      </c>
      <c r="AC27" s="115">
        <v>0</v>
      </c>
      <c r="AD27" s="115"/>
      <c r="AE27" s="115"/>
      <c r="AF27" s="115"/>
      <c r="AG27" s="115"/>
      <c r="AH27" s="115"/>
      <c r="AI27" s="115"/>
    </row>
    <row r="28" spans="1:35" ht="14">
      <c r="A28" s="6">
        <v>26</v>
      </c>
      <c r="B28" s="6" t="s">
        <v>48</v>
      </c>
      <c r="C28" s="7" t="s">
        <v>24</v>
      </c>
      <c r="D28" s="58">
        <v>450</v>
      </c>
      <c r="E28" s="58">
        <v>10537</v>
      </c>
      <c r="F28" s="58">
        <v>7</v>
      </c>
      <c r="G28" s="58">
        <v>1301.18</v>
      </c>
      <c r="H28" s="58">
        <v>3.2191999999999998</v>
      </c>
      <c r="I28" s="58">
        <v>171.52760000000001</v>
      </c>
      <c r="J28" s="58">
        <v>0.1043</v>
      </c>
      <c r="K28" s="58">
        <v>6.2100000000000002E-2</v>
      </c>
      <c r="L28" s="58">
        <v>0.41649999999999998</v>
      </c>
      <c r="M28" s="58">
        <v>2.2000000000000001E-3</v>
      </c>
      <c r="N28" s="58">
        <v>0.217278</v>
      </c>
      <c r="O28" s="58">
        <v>8.0994999999999998E-2</v>
      </c>
      <c r="P28" s="58">
        <v>0.35305599999999998</v>
      </c>
      <c r="Q28" s="58">
        <v>0</v>
      </c>
      <c r="R28" s="58">
        <v>4.5250000000000004E-3</v>
      </c>
      <c r="S28" s="58">
        <v>1.7409999999999999E-3</v>
      </c>
      <c r="T28" s="58">
        <v>7.4289999999999998E-3</v>
      </c>
      <c r="U28" s="58">
        <v>0</v>
      </c>
      <c r="V28" s="58">
        <v>3.1719999999999999E-3</v>
      </c>
      <c r="W28" s="58">
        <v>1.4749E-2</v>
      </c>
      <c r="X28" s="58">
        <v>0.220556</v>
      </c>
      <c r="Y28" s="58">
        <v>0</v>
      </c>
      <c r="Z28" s="58">
        <v>5.097E-3</v>
      </c>
      <c r="AA28" s="58">
        <v>2.5486999999999999E-2</v>
      </c>
      <c r="AB28" s="58">
        <v>0.23884900000000001</v>
      </c>
      <c r="AC28" s="58">
        <v>0</v>
      </c>
      <c r="AD28" s="8"/>
      <c r="AE28" s="8"/>
      <c r="AF28" s="8"/>
      <c r="AG28" s="8"/>
      <c r="AH28" s="8"/>
      <c r="AI28" s="8"/>
    </row>
    <row r="29" spans="1:35" ht="14">
      <c r="A29" s="6">
        <v>27</v>
      </c>
      <c r="B29" s="6" t="s">
        <v>49</v>
      </c>
      <c r="C29" s="7" t="s">
        <v>20</v>
      </c>
      <c r="D29" s="8">
        <v>349</v>
      </c>
      <c r="E29" s="8">
        <v>15042</v>
      </c>
      <c r="F29" s="8">
        <v>6</v>
      </c>
      <c r="G29" s="8">
        <v>57.49</v>
      </c>
      <c r="H29" s="8">
        <v>2.27</v>
      </c>
      <c r="I29" s="8">
        <v>13.9</v>
      </c>
      <c r="J29" s="8">
        <v>0.1928</v>
      </c>
      <c r="K29" s="8">
        <v>0.1147</v>
      </c>
      <c r="L29" s="8">
        <v>0.60340000000000005</v>
      </c>
      <c r="M29" s="8">
        <v>1.72E-2</v>
      </c>
      <c r="N29" s="8">
        <v>0.34960000000000002</v>
      </c>
      <c r="O29" s="8">
        <v>0.12280000000000001</v>
      </c>
      <c r="P29" s="58">
        <v>0.61819999999999997</v>
      </c>
      <c r="Q29" s="8">
        <v>9.7100000000000006E-2</v>
      </c>
      <c r="R29" s="8">
        <v>5.9400000000000001E-2</v>
      </c>
      <c r="S29" s="8">
        <v>2.23E-2</v>
      </c>
      <c r="T29" s="8">
        <v>0.1016</v>
      </c>
      <c r="U29" s="8">
        <v>1.1999999999999999E-3</v>
      </c>
      <c r="V29" s="117">
        <v>2.6949999999999999E-3</v>
      </c>
      <c r="W29" s="104">
        <v>1.0822E-2</v>
      </c>
      <c r="X29" s="104">
        <v>0.11217100000000001</v>
      </c>
      <c r="Y29" s="8">
        <v>0</v>
      </c>
      <c r="Z29" s="10">
        <v>2.859E-3</v>
      </c>
      <c r="AA29" s="10">
        <v>1.5596E-2</v>
      </c>
      <c r="AB29" s="10">
        <v>0.18782299999999999</v>
      </c>
      <c r="AC29" s="8">
        <v>0</v>
      </c>
      <c r="AD29" s="8"/>
      <c r="AE29" s="8"/>
      <c r="AF29" s="8"/>
      <c r="AG29" s="8"/>
      <c r="AH29" s="8"/>
      <c r="AI29" s="8"/>
    </row>
    <row r="30" spans="1:35" ht="14">
      <c r="A30" s="6">
        <v>28</v>
      </c>
      <c r="B30" s="6" t="s">
        <v>50</v>
      </c>
      <c r="C30" s="7" t="s">
        <v>22</v>
      </c>
      <c r="D30" s="8">
        <v>95</v>
      </c>
      <c r="E30" s="8">
        <v>3658</v>
      </c>
      <c r="F30" s="8">
        <v>2</v>
      </c>
      <c r="G30" s="8">
        <v>21.860800000000001</v>
      </c>
      <c r="H30" s="8">
        <v>1.5904</v>
      </c>
      <c r="I30" s="8">
        <v>5.9306000000000001</v>
      </c>
      <c r="J30" s="8">
        <v>0.81930000000000003</v>
      </c>
      <c r="K30" s="8">
        <v>0.28110000000000002</v>
      </c>
      <c r="L30" s="8">
        <v>1.9786999999999999</v>
      </c>
      <c r="M30" s="8">
        <v>0.38300000000000001</v>
      </c>
      <c r="N30" s="8">
        <v>0.63470000000000004</v>
      </c>
      <c r="O30" s="8">
        <v>6.7599999999999993E-2</v>
      </c>
      <c r="P30" s="8">
        <v>0.98950000000000005</v>
      </c>
      <c r="Q30" s="8">
        <v>0.55289999999999995</v>
      </c>
      <c r="R30" s="8">
        <v>0.22120000000000001</v>
      </c>
      <c r="S30" s="8">
        <v>0.105</v>
      </c>
      <c r="T30" s="8">
        <v>0.40379999999999999</v>
      </c>
      <c r="U30" s="8">
        <v>6.7900000000000002E-2</v>
      </c>
      <c r="V30" s="8">
        <v>6.3E-3</v>
      </c>
      <c r="W30" s="8">
        <v>3.2800000000000003E-2</v>
      </c>
      <c r="X30" s="8">
        <v>0.31929999999999997</v>
      </c>
      <c r="Y30" s="8">
        <v>0</v>
      </c>
      <c r="Z30" s="8">
        <v>8.5000000000000006E-3</v>
      </c>
      <c r="AA30" s="8">
        <v>5.16E-2</v>
      </c>
      <c r="AB30" s="8">
        <v>0.4859</v>
      </c>
      <c r="AC30" s="8">
        <v>0</v>
      </c>
      <c r="AD30" s="8"/>
      <c r="AE30" s="8"/>
      <c r="AF30" s="8"/>
      <c r="AG30" s="8"/>
      <c r="AH30" s="8"/>
      <c r="AI30" s="8"/>
    </row>
    <row r="31" spans="1:35" ht="14">
      <c r="A31" s="6">
        <v>29</v>
      </c>
      <c r="B31" s="6" t="s">
        <v>51</v>
      </c>
      <c r="C31" s="7" t="s">
        <v>20</v>
      </c>
      <c r="D31" s="8">
        <v>115</v>
      </c>
      <c r="E31" s="8">
        <v>7222</v>
      </c>
      <c r="F31" s="8">
        <v>2</v>
      </c>
      <c r="G31" s="8">
        <v>51.791400000000003</v>
      </c>
      <c r="H31" s="8">
        <v>1.4238</v>
      </c>
      <c r="I31" s="8">
        <v>5.1333000000000002</v>
      </c>
      <c r="J31" s="8">
        <v>1.1016999999999999</v>
      </c>
      <c r="K31" s="104">
        <v>0.39179999999999998</v>
      </c>
      <c r="L31" s="8">
        <v>1.8684000000000001</v>
      </c>
      <c r="M31" s="8">
        <v>0.23680000000000001</v>
      </c>
      <c r="N31" s="8">
        <v>0.6845</v>
      </c>
      <c r="O31" s="8">
        <v>0.1195</v>
      </c>
      <c r="P31" s="8">
        <v>0.91810000000000003</v>
      </c>
      <c r="Q31" s="8">
        <v>0</v>
      </c>
      <c r="R31" s="8">
        <v>1.03E-2</v>
      </c>
      <c r="S31" s="8">
        <v>3.4700000000000002E-2</v>
      </c>
      <c r="T31" s="8">
        <v>0.221</v>
      </c>
      <c r="U31" s="8">
        <v>0</v>
      </c>
      <c r="V31" s="8">
        <v>4.0000000000000001E-3</v>
      </c>
      <c r="W31" s="8">
        <v>5.5999999999999999E-3</v>
      </c>
      <c r="X31" s="8">
        <v>3.44E-2</v>
      </c>
      <c r="Y31" s="8">
        <v>0</v>
      </c>
      <c r="Z31" s="8">
        <v>4.0000000000000001E-3</v>
      </c>
      <c r="AA31" s="8">
        <v>5.5999999999999999E-3</v>
      </c>
      <c r="AB31" s="8">
        <v>3.44E-2</v>
      </c>
      <c r="AC31" s="8">
        <v>0</v>
      </c>
      <c r="AD31" s="8"/>
      <c r="AE31" s="8"/>
      <c r="AF31" s="8"/>
      <c r="AG31" s="8"/>
      <c r="AH31" s="8"/>
      <c r="AI31" s="8"/>
    </row>
    <row r="32" spans="1:35" ht="14">
      <c r="A32" s="6">
        <v>30</v>
      </c>
      <c r="B32" s="6" t="s">
        <v>52</v>
      </c>
      <c r="C32" s="7" t="s">
        <v>20</v>
      </c>
      <c r="D32" s="8"/>
      <c r="E32" s="8"/>
      <c r="F32" s="8"/>
      <c r="G32" s="8"/>
      <c r="H32" s="8"/>
      <c r="I32" s="8"/>
      <c r="J32" s="111"/>
      <c r="K32" s="111"/>
      <c r="L32" s="8"/>
      <c r="M32" s="111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</row>
    <row r="33" spans="1:35" ht="14">
      <c r="A33" s="6">
        <v>31</v>
      </c>
      <c r="B33" s="6" t="s">
        <v>53</v>
      </c>
      <c r="C33" s="7" t="s">
        <v>24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104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</row>
    <row r="34" spans="1:35" ht="14">
      <c r="A34" s="6">
        <v>32</v>
      </c>
      <c r="B34" s="6" t="s">
        <v>54</v>
      </c>
      <c r="C34" s="7" t="s">
        <v>20</v>
      </c>
      <c r="D34" s="8">
        <v>133</v>
      </c>
      <c r="E34" s="8">
        <v>4301</v>
      </c>
      <c r="F34" s="8">
        <v>2</v>
      </c>
      <c r="G34" s="8">
        <v>11.875</v>
      </c>
      <c r="H34" s="8">
        <v>1.51</v>
      </c>
      <c r="I34" s="8">
        <v>3.3403</v>
      </c>
      <c r="J34" s="8">
        <v>0.48997499999999999</v>
      </c>
      <c r="K34" s="8">
        <v>0.17360200000000001</v>
      </c>
      <c r="L34" s="8">
        <v>1</v>
      </c>
      <c r="M34" s="8">
        <v>0.18939400000000001</v>
      </c>
      <c r="N34" s="8">
        <v>0.67189500000000002</v>
      </c>
      <c r="O34" s="8">
        <v>8.5301000000000002E-2</v>
      </c>
      <c r="P34" s="8">
        <v>1</v>
      </c>
      <c r="Q34" s="8">
        <v>0.55230100000000004</v>
      </c>
      <c r="R34" s="8">
        <v>0.331955</v>
      </c>
      <c r="S34" s="8">
        <v>9.4480999999999996E-2</v>
      </c>
      <c r="T34" s="8">
        <v>0.55372699999999997</v>
      </c>
      <c r="U34" s="8">
        <v>0.13586799999999999</v>
      </c>
      <c r="V34" s="8">
        <v>3.8930000000000002E-3</v>
      </c>
      <c r="W34" s="8">
        <v>5.9230000000000003E-3</v>
      </c>
      <c r="X34" s="8">
        <v>3.5213000000000001E-2</v>
      </c>
      <c r="Y34" s="8">
        <v>0</v>
      </c>
      <c r="Z34" s="8">
        <v>1.0428E-2</v>
      </c>
      <c r="AA34" s="8">
        <v>5.7162999999999999E-2</v>
      </c>
      <c r="AB34" s="8">
        <v>0.614116</v>
      </c>
      <c r="AC34" s="8">
        <v>0</v>
      </c>
      <c r="AD34" s="8"/>
      <c r="AE34" s="8"/>
      <c r="AF34" s="8"/>
      <c r="AG34" s="8"/>
      <c r="AH34" s="8"/>
      <c r="AI34" s="8"/>
    </row>
    <row r="35" spans="1:35" ht="14">
      <c r="A35" s="6">
        <v>33</v>
      </c>
      <c r="B35" s="6" t="s">
        <v>55</v>
      </c>
      <c r="C35" s="7" t="s">
        <v>20</v>
      </c>
      <c r="D35" s="64">
        <v>131</v>
      </c>
      <c r="E35" s="64">
        <v>4786</v>
      </c>
      <c r="F35" s="64">
        <v>3</v>
      </c>
      <c r="G35" s="118">
        <v>902.5</v>
      </c>
      <c r="H35" s="118">
        <v>1.8</v>
      </c>
      <c r="I35" s="8">
        <v>154</v>
      </c>
      <c r="J35" s="8">
        <v>0.56200000000000006</v>
      </c>
      <c r="K35" s="8">
        <v>0.27435700000000002</v>
      </c>
      <c r="L35" s="8">
        <v>1.484615</v>
      </c>
      <c r="M35" s="8">
        <v>0.16923099999999999</v>
      </c>
      <c r="N35" s="8">
        <v>0.56976700000000002</v>
      </c>
      <c r="O35" s="8">
        <v>9.0288999999999994E-2</v>
      </c>
      <c r="P35" s="8">
        <v>0.86667000000000005</v>
      </c>
      <c r="Q35" s="8">
        <v>0.439189</v>
      </c>
      <c r="R35" s="8">
        <v>8.7530000000000004E-3</v>
      </c>
      <c r="S35" s="8">
        <v>3.539E-3</v>
      </c>
      <c r="T35" s="8">
        <v>1.1835999999999999E-2</v>
      </c>
      <c r="U35" s="8">
        <v>1.5449999999999999E-3</v>
      </c>
      <c r="V35" s="8">
        <v>6.1749999999999999E-3</v>
      </c>
      <c r="W35" s="8">
        <v>1.4886999999999999E-2</v>
      </c>
      <c r="X35" s="8">
        <v>9.1522999999999993E-2</v>
      </c>
      <c r="Y35" s="8">
        <v>0</v>
      </c>
      <c r="Z35" s="8">
        <v>1.0703000000000001E-2</v>
      </c>
      <c r="AA35" s="8">
        <v>5.6659000000000001E-2</v>
      </c>
      <c r="AB35" s="8">
        <v>0.53527599999999997</v>
      </c>
      <c r="AC35" s="8">
        <v>0</v>
      </c>
      <c r="AD35" s="8"/>
      <c r="AE35" s="8"/>
      <c r="AF35" s="8"/>
      <c r="AG35" s="8"/>
      <c r="AH35" s="8"/>
      <c r="AI35" s="8"/>
    </row>
    <row r="36" spans="1:35" ht="14">
      <c r="A36" s="6">
        <v>34</v>
      </c>
      <c r="B36" s="6" t="s">
        <v>56</v>
      </c>
      <c r="C36" s="7" t="s">
        <v>20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</row>
    <row r="37" spans="1:35" ht="14">
      <c r="A37" s="6">
        <v>35</v>
      </c>
      <c r="B37" s="6" t="s">
        <v>57</v>
      </c>
      <c r="C37" s="7" t="s">
        <v>45</v>
      </c>
      <c r="D37" s="8">
        <v>153</v>
      </c>
      <c r="E37" s="8">
        <v>5405</v>
      </c>
      <c r="F37" s="8">
        <v>4</v>
      </c>
      <c r="G37" s="8">
        <v>4</v>
      </c>
      <c r="H37" s="58">
        <v>1.8472649999999999</v>
      </c>
      <c r="I37" s="115">
        <v>1.8472649999999999</v>
      </c>
      <c r="J37" s="115">
        <v>0.46482600000000002</v>
      </c>
      <c r="K37" s="8">
        <v>0.30184</v>
      </c>
      <c r="L37" s="115">
        <v>1.802632</v>
      </c>
      <c r="M37" s="115">
        <v>9.8683999999999994E-2</v>
      </c>
      <c r="N37" s="115">
        <v>0.549427</v>
      </c>
      <c r="O37" s="115">
        <v>7.2831999999999994E-2</v>
      </c>
      <c r="P37" s="115">
        <v>0.89940799999999999</v>
      </c>
      <c r="Q37" s="115">
        <v>0.33928599999999998</v>
      </c>
      <c r="R37" s="115">
        <v>0.549427</v>
      </c>
      <c r="S37" s="115">
        <v>7.2831999999999994E-2</v>
      </c>
      <c r="T37" s="115">
        <v>0.89940799999999999</v>
      </c>
      <c r="U37" s="115">
        <v>0.33928599999999998</v>
      </c>
      <c r="V37" s="115">
        <v>5.6109999999999997E-3</v>
      </c>
      <c r="W37" s="115">
        <v>1.6091000000000001E-2</v>
      </c>
      <c r="X37" s="115">
        <v>0.123781</v>
      </c>
      <c r="Y37" s="115">
        <v>0</v>
      </c>
      <c r="Z37" s="115">
        <v>5.6109999999999997E-3</v>
      </c>
      <c r="AA37" s="115">
        <v>1.6091000000000001E-2</v>
      </c>
      <c r="AB37" s="115">
        <v>0.123781</v>
      </c>
      <c r="AC37" s="115">
        <v>0</v>
      </c>
      <c r="AD37" s="115"/>
      <c r="AE37" s="115"/>
      <c r="AF37" s="115"/>
      <c r="AG37" s="8"/>
      <c r="AH37" s="8"/>
      <c r="AI37" s="8"/>
    </row>
    <row r="38" spans="1:35" ht="14">
      <c r="A38" s="6">
        <v>36</v>
      </c>
      <c r="B38" s="6" t="s">
        <v>58</v>
      </c>
      <c r="C38" s="7" t="s">
        <v>24</v>
      </c>
      <c r="D38" s="8">
        <v>146</v>
      </c>
      <c r="E38" s="8">
        <v>3928</v>
      </c>
      <c r="F38" s="8">
        <v>5</v>
      </c>
      <c r="G38" s="115">
        <v>249.51</v>
      </c>
      <c r="H38" s="8">
        <v>2.0388000000000002</v>
      </c>
      <c r="I38" s="115">
        <v>62.14</v>
      </c>
      <c r="J38" s="115">
        <v>0.37108999999999998</v>
      </c>
      <c r="K38" s="115">
        <v>0.25975999999999999</v>
      </c>
      <c r="L38" s="115">
        <v>1.3931</v>
      </c>
      <c r="M38" s="115">
        <v>4.138E-2</v>
      </c>
      <c r="N38" s="115">
        <v>0.49587999999999999</v>
      </c>
      <c r="O38" s="115">
        <v>7.5550000000000006E-2</v>
      </c>
      <c r="P38" s="115">
        <v>0.75521000000000005</v>
      </c>
      <c r="Q38" s="115">
        <v>0.29293000000000002</v>
      </c>
      <c r="R38" s="115">
        <v>1.804E-2</v>
      </c>
      <c r="S38" s="115">
        <v>5.7200000000000003E-3</v>
      </c>
      <c r="T38" s="115">
        <v>2.896E-2</v>
      </c>
      <c r="U38" s="115">
        <v>4.6699999999999997E-3</v>
      </c>
      <c r="V38" s="115">
        <v>7.3600000000000002E-3</v>
      </c>
      <c r="W38" s="115">
        <v>2.741E-2</v>
      </c>
      <c r="X38" s="8">
        <v>0.24854999999999999</v>
      </c>
      <c r="Y38" s="8">
        <v>0</v>
      </c>
      <c r="Z38" s="115">
        <v>8.9899999999999997E-3</v>
      </c>
      <c r="AA38" s="115">
        <v>3.8199999999999998E-2</v>
      </c>
      <c r="AB38" s="115">
        <v>0.28372000000000003</v>
      </c>
      <c r="AC38" s="8">
        <v>0</v>
      </c>
      <c r="AD38" s="8"/>
      <c r="AE38" s="8"/>
      <c r="AF38" s="8"/>
      <c r="AG38" s="8"/>
      <c r="AH38" s="8"/>
      <c r="AI38" s="8"/>
    </row>
    <row r="39" spans="1:35" ht="14">
      <c r="A39" s="6">
        <v>37</v>
      </c>
      <c r="B39" s="6" t="s">
        <v>59</v>
      </c>
      <c r="C39" s="7" t="s">
        <v>24</v>
      </c>
      <c r="D39" s="8">
        <v>314</v>
      </c>
      <c r="E39" s="8">
        <v>8063</v>
      </c>
      <c r="F39" s="8">
        <v>4</v>
      </c>
      <c r="G39" s="8">
        <v>1168.5</v>
      </c>
      <c r="H39" s="8">
        <v>2.0192000000000001</v>
      </c>
      <c r="I39" s="8">
        <v>172.25</v>
      </c>
      <c r="J39" s="8">
        <v>0.164078</v>
      </c>
      <c r="K39" s="8">
        <v>0.160077</v>
      </c>
      <c r="L39" s="8">
        <v>1.8402555</v>
      </c>
      <c r="M39" s="119">
        <v>9.5840000000000005E-3</v>
      </c>
      <c r="N39" s="8">
        <v>0.49889499999999998</v>
      </c>
      <c r="O39" s="8">
        <v>4.9806999999999997E-2</v>
      </c>
      <c r="P39" s="119">
        <v>0.91471519999999995</v>
      </c>
      <c r="Q39" s="8">
        <f>0.332979</f>
        <v>0.33297900000000002</v>
      </c>
      <c r="R39" s="8">
        <v>8.5979999999999997E-3</v>
      </c>
      <c r="S39" s="8">
        <v>3.2560000000000002E-3</v>
      </c>
      <c r="T39" s="8">
        <v>1.256E-2</v>
      </c>
      <c r="U39" s="8">
        <v>1.49E-3</v>
      </c>
      <c r="V39" s="8">
        <v>3.2569000000000001E-3</v>
      </c>
      <c r="W39" s="8">
        <v>3.1489999999999997E-2</v>
      </c>
      <c r="X39" s="8">
        <v>0.52769999999999995</v>
      </c>
      <c r="Y39" s="8">
        <v>0</v>
      </c>
      <c r="Z39" s="8">
        <v>4.3210000000000002E-3</v>
      </c>
      <c r="AA39" s="8">
        <v>3.5650000000000001E-2</v>
      </c>
      <c r="AB39" s="8">
        <v>0.53825999999999996</v>
      </c>
      <c r="AC39" s="8">
        <v>0</v>
      </c>
      <c r="AD39" s="8"/>
      <c r="AE39" s="8"/>
      <c r="AF39" s="8"/>
      <c r="AG39" s="8"/>
      <c r="AH39" s="8"/>
      <c r="AI39" s="8"/>
    </row>
    <row r="40" spans="1:35" ht="14">
      <c r="A40" s="6">
        <v>38</v>
      </c>
      <c r="B40" s="6" t="s">
        <v>41</v>
      </c>
      <c r="C40" s="7" t="s">
        <v>24</v>
      </c>
      <c r="D40" s="8">
        <v>249</v>
      </c>
      <c r="E40" s="8">
        <v>9270</v>
      </c>
      <c r="F40" s="8">
        <v>5</v>
      </c>
      <c r="G40" s="58">
        <v>55.982100000000003</v>
      </c>
      <c r="H40" s="8">
        <v>2.3279800000000002</v>
      </c>
      <c r="I40" s="8">
        <v>7.48</v>
      </c>
      <c r="J40" s="8">
        <v>0.30023300000000003</v>
      </c>
      <c r="K40" s="8">
        <v>0.142488</v>
      </c>
      <c r="L40" s="58">
        <v>1.0362899999999999</v>
      </c>
      <c r="M40" s="8">
        <v>7.2581000000000007E-2</v>
      </c>
      <c r="N40" s="8">
        <v>0.43846600000000002</v>
      </c>
      <c r="O40" s="8">
        <v>0.57262999999999997</v>
      </c>
      <c r="P40" s="58">
        <v>0.66310199999999997</v>
      </c>
      <c r="Q40" s="8">
        <v>0.24530199999999999</v>
      </c>
      <c r="R40" s="8">
        <v>0.17044400000000001</v>
      </c>
      <c r="S40" s="8">
        <v>6.8736000000000005E-2</v>
      </c>
      <c r="T40" s="8">
        <v>0.26517600000000002</v>
      </c>
      <c r="U40" s="8">
        <v>2.5760999999999999E-2</v>
      </c>
      <c r="V40" s="8">
        <v>5.3759999999999997E-3</v>
      </c>
      <c r="W40" s="8">
        <v>3.0773999999999999E-2</v>
      </c>
      <c r="X40" s="8">
        <v>0.31993700000000003</v>
      </c>
      <c r="Y40" s="8">
        <v>0</v>
      </c>
      <c r="Z40" s="8">
        <v>7.8890000000000002E-3</v>
      </c>
      <c r="AA40" s="8">
        <v>4.4302000000000001E-2</v>
      </c>
      <c r="AB40" s="8">
        <v>0.461254</v>
      </c>
      <c r="AC40" s="8">
        <v>0</v>
      </c>
      <c r="AD40" s="8"/>
      <c r="AE40" s="8"/>
      <c r="AF40" s="8"/>
      <c r="AG40" s="8"/>
      <c r="AH40" s="8"/>
      <c r="AI40" s="8"/>
    </row>
    <row r="41" spans="1:35" ht="14">
      <c r="A41" s="6">
        <v>39</v>
      </c>
      <c r="B41" s="6" t="s">
        <v>52</v>
      </c>
      <c r="C41" s="7" t="s">
        <v>24</v>
      </c>
      <c r="D41" s="8">
        <v>274</v>
      </c>
      <c r="E41" s="8">
        <v>7571</v>
      </c>
      <c r="F41" s="8">
        <v>4</v>
      </c>
      <c r="G41" s="8">
        <v>877.8</v>
      </c>
      <c r="H41" s="8">
        <v>2.1720000000000002</v>
      </c>
      <c r="I41" s="8">
        <v>45.768000000000001</v>
      </c>
      <c r="J41" s="8">
        <v>0.2024</v>
      </c>
      <c r="K41" s="8">
        <v>0.16</v>
      </c>
      <c r="L41" s="58">
        <v>1.4689000000000001</v>
      </c>
      <c r="M41" s="8">
        <v>3.6600000000000001E-2</v>
      </c>
      <c r="N41" s="8">
        <v>0.46829999999999999</v>
      </c>
      <c r="O41" s="8">
        <v>6.0999999999999999E-2</v>
      </c>
      <c r="P41" s="8">
        <v>0.33700000000000002</v>
      </c>
      <c r="Q41" s="8">
        <v>0.7913</v>
      </c>
      <c r="R41" s="8">
        <v>2.6700000000000002E-2</v>
      </c>
      <c r="S41" s="8">
        <v>7.6E-3</v>
      </c>
      <c r="T41" s="58">
        <v>4.2599999999999999E-2</v>
      </c>
      <c r="U41" s="8">
        <v>1.6000000000000001E-3</v>
      </c>
      <c r="V41" s="8">
        <v>4.3E-3</v>
      </c>
      <c r="W41" s="8">
        <v>2.3699999999999999E-2</v>
      </c>
      <c r="X41" s="8">
        <v>0.31340000000000001</v>
      </c>
      <c r="Y41" s="8">
        <v>0</v>
      </c>
      <c r="Z41" s="8">
        <v>6.1999999999999998E-3</v>
      </c>
      <c r="AA41" s="8">
        <v>4.82E-2</v>
      </c>
      <c r="AB41" s="8">
        <v>0.69389999999999996</v>
      </c>
      <c r="AC41" s="8">
        <v>0</v>
      </c>
      <c r="AD41" s="8"/>
      <c r="AE41" s="8"/>
      <c r="AF41" s="8"/>
      <c r="AG41" s="8"/>
      <c r="AH41" s="8"/>
      <c r="AI41" s="8"/>
    </row>
    <row r="42" spans="1:35" ht="14">
      <c r="A42" s="6">
        <v>40</v>
      </c>
      <c r="B42" s="6" t="s">
        <v>19</v>
      </c>
      <c r="C42" s="7" t="s">
        <v>45</v>
      </c>
      <c r="D42" s="59">
        <v>309</v>
      </c>
      <c r="E42" s="59">
        <v>10545</v>
      </c>
      <c r="F42" s="59">
        <v>6</v>
      </c>
      <c r="G42" s="59">
        <v>91</v>
      </c>
      <c r="H42" s="59">
        <v>2.4500000000000002</v>
      </c>
      <c r="I42" s="59">
        <v>24.23</v>
      </c>
      <c r="J42" s="59">
        <v>0.22</v>
      </c>
      <c r="K42" s="59">
        <v>0.14000000000000001</v>
      </c>
      <c r="L42" s="59">
        <v>0.75</v>
      </c>
      <c r="M42" s="59">
        <v>0.04</v>
      </c>
      <c r="N42" s="59">
        <v>0.42</v>
      </c>
      <c r="O42" s="59">
        <v>5.8999999999999997E-2</v>
      </c>
      <c r="P42" s="59">
        <v>0.56799999999999995</v>
      </c>
      <c r="Q42" s="59">
        <v>0.28799999999999998</v>
      </c>
      <c r="R42" s="59">
        <v>4.5499999999999999E-2</v>
      </c>
      <c r="S42" s="59">
        <v>1.3100000000000001E-2</v>
      </c>
      <c r="T42" s="59">
        <v>7.0000000000000007E-2</v>
      </c>
      <c r="U42" s="59">
        <v>1.7999999999999999E-2</v>
      </c>
      <c r="V42" s="59">
        <v>4.7000000000000002E-3</v>
      </c>
      <c r="W42" s="59">
        <v>1.54E-2</v>
      </c>
      <c r="X42" s="59">
        <v>0.191</v>
      </c>
      <c r="Y42" s="59">
        <v>0</v>
      </c>
      <c r="Z42" s="59">
        <v>5.4999999999999997E-3</v>
      </c>
      <c r="AA42" s="59">
        <v>2.1000000000000001E-2</v>
      </c>
      <c r="AB42" s="59">
        <v>0.21</v>
      </c>
      <c r="AC42" s="59">
        <v>0</v>
      </c>
      <c r="AD42" s="59"/>
      <c r="AE42" s="59"/>
      <c r="AF42" s="59"/>
      <c r="AG42" s="59"/>
      <c r="AH42" s="59"/>
      <c r="AI42" s="59"/>
    </row>
    <row r="43" spans="1:35" ht="14">
      <c r="A43" s="6">
        <v>41</v>
      </c>
      <c r="B43" s="6" t="s">
        <v>21</v>
      </c>
      <c r="C43" s="7" t="s">
        <v>20</v>
      </c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  <c r="AA43" s="59"/>
      <c r="AB43" s="59"/>
      <c r="AC43" s="59"/>
      <c r="AD43" s="59"/>
      <c r="AE43" s="59"/>
      <c r="AF43" s="59"/>
      <c r="AG43" s="59"/>
      <c r="AH43" s="59"/>
      <c r="AI43" s="59"/>
    </row>
    <row r="44" spans="1:35" ht="14">
      <c r="A44" s="6">
        <v>42</v>
      </c>
      <c r="B44" s="6" t="s">
        <v>30</v>
      </c>
      <c r="C44" s="6" t="s">
        <v>45</v>
      </c>
      <c r="D44" s="59">
        <v>206</v>
      </c>
      <c r="E44" s="59">
        <v>3090</v>
      </c>
      <c r="F44" s="59">
        <v>5</v>
      </c>
      <c r="G44" s="59">
        <v>882.18</v>
      </c>
      <c r="H44" s="59">
        <v>2.2959499999999999</v>
      </c>
      <c r="I44" s="59">
        <v>123.92</v>
      </c>
      <c r="J44" s="59">
        <v>0.14634</v>
      </c>
      <c r="K44" s="59">
        <v>7.5310000000000002E-2</v>
      </c>
      <c r="L44" s="59">
        <v>0.55122000000000004</v>
      </c>
      <c r="M44" s="59">
        <v>9.7599999999999996E-3</v>
      </c>
      <c r="N44" s="59">
        <v>0.44379999999999997</v>
      </c>
      <c r="O44" s="59">
        <v>6.0359999999999997E-2</v>
      </c>
      <c r="P44" s="59">
        <v>0.67434000000000005</v>
      </c>
      <c r="Q44" s="59">
        <v>0.29037000000000002</v>
      </c>
      <c r="R44" s="59">
        <v>1.0619999999999999E-2</v>
      </c>
      <c r="S44" s="59">
        <v>3.48E-3</v>
      </c>
      <c r="T44" s="59">
        <v>1.4619999999999999E-2</v>
      </c>
      <c r="U44" s="59">
        <v>1.6199999999999999E-3</v>
      </c>
      <c r="V44" s="59">
        <v>6.3499999999999997E-3</v>
      </c>
      <c r="W44" s="59">
        <v>2.46E-2</v>
      </c>
      <c r="X44" s="59">
        <v>0.30375000000000002</v>
      </c>
      <c r="Y44" s="59">
        <v>0</v>
      </c>
      <c r="Z44" s="59">
        <v>1.0070000000000001E-2</v>
      </c>
      <c r="AA44" s="59">
        <v>5.0090000000000003E-2</v>
      </c>
      <c r="AB44" s="59">
        <v>0.49875999999999998</v>
      </c>
      <c r="AC44" s="59">
        <v>0</v>
      </c>
      <c r="AD44" s="59"/>
      <c r="AE44" s="59"/>
      <c r="AF44" s="59"/>
      <c r="AG44" s="59"/>
      <c r="AH44" s="59"/>
      <c r="AI44" s="59"/>
    </row>
    <row r="45" spans="1:35" ht="14">
      <c r="A45" s="6">
        <v>43</v>
      </c>
      <c r="B45" s="6" t="s">
        <v>54</v>
      </c>
      <c r="C45" s="7" t="s">
        <v>24</v>
      </c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59"/>
      <c r="AB45" s="59"/>
      <c r="AC45" s="59"/>
      <c r="AD45" s="59"/>
      <c r="AE45" s="59"/>
      <c r="AF45" s="59"/>
      <c r="AG45" s="59"/>
      <c r="AH45" s="59"/>
      <c r="AI45" s="59"/>
    </row>
    <row r="46" spans="1:35" ht="14">
      <c r="A46" s="6">
        <v>44</v>
      </c>
      <c r="B46" s="6" t="s">
        <v>33</v>
      </c>
      <c r="C46" s="7" t="s">
        <v>24</v>
      </c>
      <c r="D46" s="59">
        <v>61</v>
      </c>
      <c r="E46" s="59">
        <v>1350</v>
      </c>
      <c r="F46" s="59">
        <v>2</v>
      </c>
      <c r="G46" s="59">
        <v>641.25</v>
      </c>
      <c r="H46" s="59">
        <v>1.63</v>
      </c>
      <c r="I46" s="59">
        <v>74.260000000000005</v>
      </c>
      <c r="J46" s="59">
        <v>0.74</v>
      </c>
      <c r="K46" s="59">
        <v>0.33</v>
      </c>
      <c r="L46" s="59">
        <v>2</v>
      </c>
      <c r="M46" s="59">
        <v>0.43</v>
      </c>
      <c r="N46" s="59">
        <v>0.62</v>
      </c>
      <c r="O46" s="59">
        <v>8.7999999999999995E-2</v>
      </c>
      <c r="P46" s="59">
        <v>1</v>
      </c>
      <c r="Q46" s="59">
        <v>0.54</v>
      </c>
      <c r="R46" s="59">
        <v>1.9E-2</v>
      </c>
      <c r="S46" s="59">
        <v>5.8999999999999999E-3</v>
      </c>
      <c r="T46" s="59">
        <v>2.4E-2</v>
      </c>
      <c r="U46" s="59">
        <v>3.3999999999999998E-3</v>
      </c>
      <c r="V46" s="59">
        <v>1.0999999999999999E-2</v>
      </c>
      <c r="W46" s="59">
        <v>3.9E-2</v>
      </c>
      <c r="X46" s="59">
        <v>0.21</v>
      </c>
      <c r="Y46" s="59">
        <v>0</v>
      </c>
      <c r="Z46" s="59">
        <v>1.0999999999999999E-2</v>
      </c>
      <c r="AA46" s="59">
        <v>4.7E-2</v>
      </c>
      <c r="AB46" s="59">
        <v>0.32</v>
      </c>
      <c r="AC46" s="59">
        <v>0</v>
      </c>
      <c r="AD46" s="59"/>
      <c r="AE46" s="59"/>
      <c r="AF46" s="59"/>
      <c r="AG46" s="59"/>
      <c r="AH46" s="59"/>
      <c r="AI46" s="59"/>
    </row>
    <row r="47" spans="1:35" ht="14">
      <c r="A47" s="6">
        <v>45</v>
      </c>
      <c r="B47" s="6" t="s">
        <v>35</v>
      </c>
      <c r="C47" s="7" t="s">
        <v>20</v>
      </c>
      <c r="D47" s="59">
        <v>84</v>
      </c>
      <c r="E47" s="59">
        <v>1106</v>
      </c>
      <c r="F47" s="59">
        <v>2</v>
      </c>
      <c r="G47" s="59">
        <v>7.31</v>
      </c>
      <c r="H47" s="59">
        <v>1.5</v>
      </c>
      <c r="I47" s="59">
        <v>2.1</v>
      </c>
      <c r="J47" s="59">
        <v>0.317</v>
      </c>
      <c r="K47" s="59">
        <v>8.7730000000000002E-2</v>
      </c>
      <c r="L47" s="59">
        <v>0.47</v>
      </c>
      <c r="M47" s="59">
        <v>0.13253000000000001</v>
      </c>
      <c r="N47" s="59">
        <v>0.37437999999999999</v>
      </c>
      <c r="O47" s="59">
        <v>4.4999999999999998E-2</v>
      </c>
      <c r="P47" s="59">
        <v>0.47599999999999998</v>
      </c>
      <c r="Q47" s="59">
        <v>0.30299999999999999</v>
      </c>
      <c r="R47" s="59">
        <v>0.3538</v>
      </c>
      <c r="S47" s="59">
        <v>0.121</v>
      </c>
      <c r="T47" s="59">
        <v>0.60529999999999995</v>
      </c>
      <c r="U47" s="59">
        <v>9.8500000000000004E-2</v>
      </c>
      <c r="V47" s="59">
        <v>2.186E-3</v>
      </c>
      <c r="W47" s="59">
        <v>5.5399999999999998E-3</v>
      </c>
      <c r="X47" s="59">
        <v>4.1410000000000002E-2</v>
      </c>
      <c r="Y47" s="59">
        <v>0</v>
      </c>
      <c r="Z47" s="59">
        <v>3.4840000000000001E-3</v>
      </c>
      <c r="AA47" s="59">
        <v>1.4E-2</v>
      </c>
      <c r="AB47" s="59">
        <v>0.111666</v>
      </c>
      <c r="AC47" s="59">
        <v>0</v>
      </c>
      <c r="AD47" s="59"/>
      <c r="AE47" s="59"/>
      <c r="AF47" s="59"/>
      <c r="AG47" s="59"/>
      <c r="AH47" s="59"/>
      <c r="AI47" s="59"/>
    </row>
    <row r="48" spans="1:35" ht="14">
      <c r="A48" s="6">
        <v>46</v>
      </c>
      <c r="B48" s="6" t="s">
        <v>40</v>
      </c>
      <c r="C48" s="7" t="s">
        <v>22</v>
      </c>
      <c r="D48" s="74">
        <v>101</v>
      </c>
      <c r="E48" s="74">
        <v>2173</v>
      </c>
      <c r="F48" s="74">
        <v>2</v>
      </c>
      <c r="G48" s="76">
        <v>11.6068123</v>
      </c>
      <c r="H48" s="76">
        <v>1.56970297</v>
      </c>
      <c r="I48" s="76">
        <v>4.33564814</v>
      </c>
      <c r="J48" s="76">
        <v>0.43029699999999999</v>
      </c>
      <c r="K48" s="76">
        <v>0.19881099999999999</v>
      </c>
      <c r="L48" s="74">
        <v>1</v>
      </c>
      <c r="M48" s="74">
        <v>0.25</v>
      </c>
      <c r="N48" s="76">
        <v>0.651424</v>
      </c>
      <c r="O48" s="76">
        <v>0.114485</v>
      </c>
      <c r="P48" s="74">
        <v>1</v>
      </c>
      <c r="Q48" s="76">
        <v>0.57142899999999996</v>
      </c>
      <c r="R48" s="76">
        <v>0.245869</v>
      </c>
      <c r="S48" s="76">
        <v>6.5424999999999997E-2</v>
      </c>
      <c r="T48" s="76">
        <v>0.41497800000000001</v>
      </c>
      <c r="U48" s="76">
        <v>0.107058</v>
      </c>
      <c r="V48" s="76">
        <v>5.7549999999999997E-3</v>
      </c>
      <c r="W48" s="76">
        <v>1.5439E-2</v>
      </c>
      <c r="X48" s="76">
        <v>5.4996999999999997E-2</v>
      </c>
      <c r="Y48" s="74">
        <v>0</v>
      </c>
      <c r="Z48" s="76">
        <v>6.6629999999999997E-3</v>
      </c>
      <c r="AA48" s="76">
        <v>2.7151000000000002E-2</v>
      </c>
      <c r="AB48" s="76">
        <v>0.20000200000000001</v>
      </c>
      <c r="AC48" s="74">
        <v>0</v>
      </c>
      <c r="AD48" s="59"/>
      <c r="AE48" s="59"/>
      <c r="AF48" s="59"/>
      <c r="AG48" s="59"/>
      <c r="AH48" s="59"/>
      <c r="AI48" s="59"/>
    </row>
    <row r="49" spans="1:35" ht="12.5">
      <c r="A49" s="120">
        <v>47</v>
      </c>
      <c r="B49" s="121" t="s">
        <v>60</v>
      </c>
      <c r="C49" s="120" t="s">
        <v>20</v>
      </c>
      <c r="D49" s="122">
        <v>68</v>
      </c>
      <c r="E49" s="122">
        <v>796</v>
      </c>
      <c r="F49" s="122">
        <v>3</v>
      </c>
      <c r="G49" s="122">
        <v>5324.1859999999997</v>
      </c>
      <c r="H49" s="123">
        <v>1.848112</v>
      </c>
      <c r="I49" s="122">
        <v>1944.4549999999999</v>
      </c>
      <c r="J49" s="122">
        <v>0.34942899999999999</v>
      </c>
      <c r="K49" s="122">
        <v>7.2363999999999998E-2</v>
      </c>
      <c r="L49" s="122">
        <v>0.73134299999999997</v>
      </c>
      <c r="M49" s="122">
        <v>0.26865699999999998</v>
      </c>
      <c r="N49" s="123">
        <v>0.54805499999999996</v>
      </c>
      <c r="O49" s="123">
        <v>6.4392000000000005E-2</v>
      </c>
      <c r="P49" s="123">
        <v>0.78823500000000002</v>
      </c>
      <c r="Q49" s="123">
        <v>0.47517700000000002</v>
      </c>
      <c r="R49" s="123">
        <v>5.44E-4</v>
      </c>
      <c r="S49" s="123">
        <v>1.2300000000000001E-4</v>
      </c>
      <c r="T49" s="123">
        <v>7.2999999999999996E-4</v>
      </c>
      <c r="U49" s="123">
        <v>2.9999999999999997E-4</v>
      </c>
      <c r="V49" s="123">
        <v>1.285E-2</v>
      </c>
      <c r="W49" s="123">
        <v>7.4106000000000005E-2</v>
      </c>
      <c r="X49" s="123">
        <v>0.47489799999999999</v>
      </c>
      <c r="Y49" s="122">
        <v>0</v>
      </c>
      <c r="Z49" s="123">
        <v>9.3465999999999994E-2</v>
      </c>
      <c r="AA49" s="123">
        <v>0.11458599999999999</v>
      </c>
      <c r="AB49" s="123">
        <v>0.47489799999999999</v>
      </c>
      <c r="AC49" s="122">
        <v>0</v>
      </c>
      <c r="AD49" s="122"/>
      <c r="AE49" s="122"/>
      <c r="AF49" s="122"/>
      <c r="AG49" s="122"/>
      <c r="AH49" s="122"/>
      <c r="AI49" s="122"/>
    </row>
    <row r="50" spans="1:35" ht="14">
      <c r="A50" s="6">
        <v>48</v>
      </c>
      <c r="B50" s="6" t="s">
        <v>43</v>
      </c>
      <c r="C50" s="7" t="s">
        <v>22</v>
      </c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  <c r="X50" s="59"/>
      <c r="Y50" s="59"/>
      <c r="Z50" s="59"/>
      <c r="AA50" s="59"/>
      <c r="AB50" s="59"/>
      <c r="AC50" s="59"/>
      <c r="AD50" s="59"/>
      <c r="AE50" s="59"/>
      <c r="AF50" s="59"/>
      <c r="AG50" s="59"/>
      <c r="AH50" s="59"/>
      <c r="AI50" s="59"/>
    </row>
    <row r="51" spans="1:35" ht="14">
      <c r="A51" s="6">
        <v>49</v>
      </c>
      <c r="B51" s="6" t="s">
        <v>49</v>
      </c>
      <c r="C51" s="7" t="s">
        <v>22</v>
      </c>
      <c r="D51" s="59">
        <v>76</v>
      </c>
      <c r="E51" s="59">
        <v>1227</v>
      </c>
      <c r="F51" s="59">
        <v>4</v>
      </c>
      <c r="G51" s="59">
        <v>11.972</v>
      </c>
      <c r="H51" s="59">
        <v>1.68</v>
      </c>
      <c r="I51" s="59">
        <v>4.5220000000000002</v>
      </c>
      <c r="J51" s="59">
        <v>0.43049999999999999</v>
      </c>
      <c r="K51" s="59">
        <v>0.16539999999999999</v>
      </c>
      <c r="L51" s="59">
        <v>0.88</v>
      </c>
      <c r="M51" s="59">
        <v>5.2999999999999999E-2</v>
      </c>
      <c r="N51" s="59">
        <v>0.60980000000000001</v>
      </c>
      <c r="O51" s="59">
        <v>9.3799999999999994E-2</v>
      </c>
      <c r="P51" s="59">
        <v>0.89300000000000002</v>
      </c>
      <c r="Q51" s="59">
        <v>0.39700000000000002</v>
      </c>
      <c r="R51" s="59">
        <v>0.23039999999999999</v>
      </c>
      <c r="S51" s="59">
        <v>4.0899999999999999E-2</v>
      </c>
      <c r="T51" s="59">
        <v>0.34150000000000003</v>
      </c>
      <c r="U51" s="59">
        <v>0.13070000000000001</v>
      </c>
      <c r="V51" s="59">
        <v>9.2700000000000005E-3</v>
      </c>
      <c r="W51" s="59">
        <v>3.5408000000000002E-2</v>
      </c>
      <c r="X51" s="59">
        <v>0.15859999999999999</v>
      </c>
      <c r="Y51" s="59">
        <v>0</v>
      </c>
      <c r="Z51" s="59">
        <v>9.2700000000000005E-2</v>
      </c>
      <c r="AA51" s="59">
        <v>0.35433999999999999</v>
      </c>
      <c r="AB51" s="59">
        <v>0.16817799999999999</v>
      </c>
      <c r="AC51" s="59">
        <v>0</v>
      </c>
      <c r="AD51" s="59"/>
      <c r="AE51" s="59"/>
      <c r="AF51" s="59"/>
      <c r="AG51" s="59"/>
      <c r="AH51" s="59"/>
      <c r="AI51" s="59"/>
    </row>
    <row r="52" spans="1:35" ht="14">
      <c r="A52" s="6">
        <v>50</v>
      </c>
      <c r="B52" s="6" t="s">
        <v>61</v>
      </c>
      <c r="C52" s="7" t="s">
        <v>22</v>
      </c>
      <c r="D52" s="59">
        <v>98</v>
      </c>
      <c r="E52" s="59">
        <v>2276</v>
      </c>
      <c r="F52" s="59">
        <v>3</v>
      </c>
      <c r="G52" s="59">
        <f>2637.73/60</f>
        <v>43.962166666666668</v>
      </c>
      <c r="H52" s="59">
        <v>1.92</v>
      </c>
      <c r="I52" s="59">
        <f>937.086/60</f>
        <v>15.6181</v>
      </c>
      <c r="J52" s="59">
        <v>0.47889999999999999</v>
      </c>
      <c r="K52" s="59">
        <v>0.1421</v>
      </c>
      <c r="L52" s="59">
        <v>1.1959</v>
      </c>
      <c r="M52" s="59">
        <v>0.39179999999999998</v>
      </c>
      <c r="N52" s="59">
        <v>0.52429999999999999</v>
      </c>
      <c r="O52" s="59">
        <v>5.0799999999999998E-2</v>
      </c>
      <c r="P52" s="59">
        <v>0.71319999999999995</v>
      </c>
      <c r="Q52" s="59">
        <v>0.46629999999999999</v>
      </c>
      <c r="R52" s="59">
        <v>1.1000000000000001E-3</v>
      </c>
      <c r="S52" s="59">
        <v>2.9999999999999997E-4</v>
      </c>
      <c r="T52" s="59">
        <v>1.6999999999999999E-3</v>
      </c>
      <c r="U52" s="59">
        <v>5.9999999999999995E-4</v>
      </c>
      <c r="V52" s="59">
        <v>9.5999999999999992E-3</v>
      </c>
      <c r="W52" s="59">
        <v>3.0800000000000001E-2</v>
      </c>
      <c r="X52" s="59">
        <v>0.17349999999999999</v>
      </c>
      <c r="Y52" s="59">
        <v>0</v>
      </c>
      <c r="Z52" s="59">
        <v>5.4100000000000002E-2</v>
      </c>
      <c r="AA52" s="59">
        <v>5.5500000000000001E-2</v>
      </c>
      <c r="AB52" s="59">
        <v>0.27660000000000001</v>
      </c>
      <c r="AC52" s="59">
        <v>0</v>
      </c>
      <c r="AD52" s="59"/>
      <c r="AE52" s="59"/>
      <c r="AF52" s="59"/>
      <c r="AG52" s="59"/>
      <c r="AH52" s="59"/>
      <c r="AI52" s="59"/>
    </row>
    <row r="53" spans="1:35" ht="12.5">
      <c r="A53" s="59"/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  <c r="X53" s="59"/>
      <c r="Y53" s="59"/>
      <c r="Z53" s="59"/>
      <c r="AA53" s="59"/>
      <c r="AB53" s="59"/>
      <c r="AC53" s="59"/>
      <c r="AD53" s="59"/>
      <c r="AE53" s="59"/>
      <c r="AF53" s="59"/>
      <c r="AG53" s="59"/>
      <c r="AH53" s="59"/>
      <c r="AI53" s="59"/>
    </row>
    <row r="54" spans="1:35" ht="12.5">
      <c r="A54" s="61"/>
      <c r="B54" s="61"/>
      <c r="C54" s="61"/>
      <c r="D54" s="61">
        <v>233</v>
      </c>
      <c r="E54" s="61">
        <v>5098</v>
      </c>
      <c r="F54" s="61">
        <v>3</v>
      </c>
      <c r="G54" s="61">
        <v>10.563700000000001</v>
      </c>
      <c r="H54" s="61">
        <v>1.8481122999999999</v>
      </c>
      <c r="I54" s="61">
        <v>5.1837485000000001</v>
      </c>
      <c r="J54" s="84">
        <v>0.18861920970845</v>
      </c>
      <c r="K54" s="84">
        <v>7.3089293154695298E-2</v>
      </c>
      <c r="L54" s="85">
        <v>0.43965517241379298</v>
      </c>
      <c r="M54" s="85">
        <v>1.72413793103448E-2</v>
      </c>
      <c r="N54" s="85"/>
      <c r="O54" s="85"/>
      <c r="P54" s="61"/>
      <c r="Q54" s="61"/>
      <c r="R54" s="84">
        <v>0.19605463181294899</v>
      </c>
      <c r="S54" s="84">
        <v>2.5751264273023801E-2</v>
      </c>
      <c r="T54" s="84">
        <v>0.281905016759602</v>
      </c>
      <c r="U54" s="84">
        <v>0.16635926589137701</v>
      </c>
      <c r="V54" s="84">
        <v>4.1291154211089E-4</v>
      </c>
      <c r="W54" s="61">
        <v>3.5822042818037599E-3</v>
      </c>
      <c r="X54" s="61">
        <v>3.9184952978056402E-2</v>
      </c>
      <c r="Y54" s="61"/>
      <c r="Z54" s="61">
        <v>4.1291154211089E-4</v>
      </c>
      <c r="AA54" s="61">
        <v>3.5823726228089501E-3</v>
      </c>
      <c r="AB54" s="61">
        <v>3.9184952978056402E-2</v>
      </c>
      <c r="AC54" s="61"/>
      <c r="AD54" s="61"/>
      <c r="AE54" s="61"/>
      <c r="AF54" s="61"/>
      <c r="AG54" s="61"/>
      <c r="AH54" s="61"/>
      <c r="AI54" s="61"/>
    </row>
    <row r="55" spans="1:35" ht="12.5">
      <c r="A55" s="59"/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  <c r="AA55" s="59"/>
      <c r="AB55" s="59"/>
      <c r="AC55" s="59"/>
      <c r="AD55" s="59"/>
      <c r="AE55" s="59"/>
      <c r="AF55" s="59"/>
      <c r="AG55" s="59"/>
      <c r="AH55" s="59"/>
      <c r="AI55" s="59"/>
    </row>
    <row r="56" spans="1:35" ht="12.5">
      <c r="A56" s="59"/>
      <c r="B56" s="59"/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  <c r="AA56" s="59"/>
      <c r="AB56" s="59"/>
      <c r="AC56" s="59"/>
      <c r="AD56" s="59"/>
      <c r="AE56" s="59"/>
      <c r="AF56" s="59"/>
      <c r="AG56" s="59"/>
      <c r="AH56" s="59"/>
      <c r="AI56" s="59"/>
    </row>
    <row r="57" spans="1:35" ht="12.5">
      <c r="A57" s="59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  <c r="AA57" s="59"/>
      <c r="AB57" s="59"/>
      <c r="AC57" s="59"/>
      <c r="AD57" s="59"/>
      <c r="AE57" s="59"/>
      <c r="AF57" s="59"/>
      <c r="AG57" s="59"/>
      <c r="AH57" s="59"/>
      <c r="AI57" s="59"/>
    </row>
    <row r="58" spans="1:35" ht="12.5">
      <c r="A58" s="59"/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  <c r="AA58" s="59"/>
      <c r="AB58" s="59"/>
      <c r="AC58" s="59"/>
      <c r="AD58" s="59"/>
      <c r="AE58" s="59"/>
      <c r="AF58" s="59"/>
      <c r="AG58" s="59"/>
      <c r="AH58" s="59"/>
      <c r="AI58" s="59"/>
    </row>
    <row r="59" spans="1:35" ht="12.5">
      <c r="A59" s="59"/>
      <c r="B59" s="59"/>
      <c r="C59" s="5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  <c r="AA59" s="59"/>
      <c r="AB59" s="59"/>
      <c r="AC59" s="59"/>
      <c r="AD59" s="59"/>
      <c r="AE59" s="59"/>
      <c r="AF59" s="59"/>
      <c r="AG59" s="59"/>
      <c r="AH59" s="59"/>
      <c r="AI59" s="59"/>
    </row>
    <row r="60" spans="1:35" ht="12.5">
      <c r="A60" s="59"/>
      <c r="B60" s="59"/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  <c r="AA60" s="59"/>
      <c r="AB60" s="59"/>
      <c r="AC60" s="59"/>
      <c r="AD60" s="59"/>
      <c r="AE60" s="59"/>
      <c r="AF60" s="59"/>
      <c r="AG60" s="59"/>
      <c r="AH60" s="59"/>
      <c r="AI60" s="59"/>
    </row>
    <row r="61" spans="1:35" ht="12.5">
      <c r="A61" s="59"/>
      <c r="B61" s="59"/>
      <c r="C61" s="5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  <c r="AA61" s="59"/>
      <c r="AB61" s="59"/>
      <c r="AC61" s="59"/>
      <c r="AD61" s="59"/>
      <c r="AE61" s="59"/>
      <c r="AF61" s="59"/>
      <c r="AG61" s="59"/>
      <c r="AH61" s="59"/>
      <c r="AI61" s="59"/>
    </row>
    <row r="62" spans="1:35" ht="12.5">
      <c r="A62" s="59"/>
      <c r="B62" s="59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  <c r="AB62" s="59"/>
      <c r="AC62" s="59"/>
      <c r="AD62" s="59"/>
      <c r="AE62" s="59"/>
      <c r="AF62" s="59"/>
      <c r="AG62" s="59"/>
      <c r="AH62" s="59"/>
      <c r="AI62" s="59"/>
    </row>
    <row r="63" spans="1:35" ht="12.5">
      <c r="A63" s="59"/>
      <c r="B63" s="59"/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  <c r="AA63" s="59"/>
      <c r="AB63" s="59"/>
      <c r="AC63" s="59"/>
      <c r="AD63" s="59"/>
      <c r="AE63" s="59"/>
      <c r="AF63" s="59"/>
      <c r="AG63" s="59"/>
      <c r="AH63" s="59"/>
      <c r="AI63" s="59"/>
    </row>
    <row r="64" spans="1:35" ht="12.5">
      <c r="A64" s="59"/>
      <c r="B64" s="59"/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  <c r="AA64" s="59"/>
      <c r="AB64" s="59"/>
      <c r="AC64" s="59"/>
      <c r="AD64" s="59"/>
      <c r="AE64" s="59"/>
      <c r="AF64" s="59"/>
      <c r="AG64" s="59"/>
      <c r="AH64" s="59"/>
      <c r="AI64" s="59"/>
    </row>
    <row r="65" spans="1:35" ht="12.5">
      <c r="A65" s="59"/>
      <c r="B65" s="59"/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  <c r="AA65" s="59"/>
      <c r="AB65" s="59"/>
      <c r="AC65" s="59"/>
      <c r="AD65" s="59"/>
      <c r="AE65" s="59"/>
      <c r="AF65" s="59"/>
      <c r="AG65" s="59"/>
      <c r="AH65" s="59"/>
      <c r="AI65" s="59"/>
    </row>
    <row r="66" spans="1:35" ht="12.5">
      <c r="A66" s="59"/>
      <c r="B66" s="59"/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  <c r="AA66" s="59"/>
      <c r="AB66" s="59"/>
      <c r="AC66" s="59"/>
      <c r="AD66" s="59"/>
      <c r="AE66" s="59"/>
      <c r="AF66" s="59"/>
      <c r="AG66" s="59"/>
      <c r="AH66" s="59"/>
      <c r="AI66" s="59"/>
    </row>
    <row r="67" spans="1:35" ht="12.5">
      <c r="A67" s="59"/>
      <c r="B67" s="59"/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  <c r="AA67" s="59"/>
      <c r="AB67" s="59"/>
      <c r="AC67" s="59"/>
      <c r="AD67" s="59"/>
      <c r="AE67" s="59"/>
      <c r="AF67" s="59"/>
      <c r="AG67" s="59"/>
      <c r="AH67" s="59"/>
      <c r="AI67" s="59"/>
    </row>
    <row r="68" spans="1:35" ht="12.5">
      <c r="A68" s="59"/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  <c r="AB68" s="59"/>
      <c r="AC68" s="59"/>
      <c r="AD68" s="59"/>
      <c r="AE68" s="59"/>
      <c r="AF68" s="59"/>
      <c r="AG68" s="59"/>
      <c r="AH68" s="59"/>
      <c r="AI68" s="59"/>
    </row>
    <row r="69" spans="1:35" ht="12.5">
      <c r="A69" s="59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  <c r="AB69" s="59"/>
      <c r="AC69" s="59"/>
      <c r="AD69" s="59"/>
      <c r="AE69" s="59"/>
      <c r="AF69" s="59"/>
      <c r="AG69" s="59"/>
      <c r="AH69" s="59"/>
      <c r="AI69" s="59"/>
    </row>
    <row r="70" spans="1:35" ht="12.5">
      <c r="A70" s="59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  <c r="AB70" s="59"/>
      <c r="AC70" s="59"/>
      <c r="AD70" s="59"/>
      <c r="AE70" s="59"/>
      <c r="AF70" s="59"/>
      <c r="AG70" s="59"/>
      <c r="AH70" s="59"/>
      <c r="AI70" s="59"/>
    </row>
    <row r="71" spans="1:35" ht="12.5">
      <c r="A71" s="59"/>
      <c r="B71" s="59"/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  <c r="AA71" s="59"/>
      <c r="AB71" s="59"/>
      <c r="AC71" s="59"/>
      <c r="AD71" s="59"/>
      <c r="AE71" s="59"/>
      <c r="AF71" s="59"/>
      <c r="AG71" s="59"/>
      <c r="AH71" s="59"/>
      <c r="AI71" s="59"/>
    </row>
    <row r="72" spans="1:35" ht="12.5">
      <c r="A72" s="59"/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  <c r="AA72" s="59"/>
      <c r="AB72" s="59"/>
      <c r="AC72" s="59"/>
      <c r="AD72" s="59"/>
      <c r="AE72" s="59"/>
      <c r="AF72" s="59"/>
      <c r="AG72" s="59"/>
      <c r="AH72" s="59"/>
      <c r="AI72" s="59"/>
    </row>
    <row r="73" spans="1:35" ht="12.5">
      <c r="A73" s="59"/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  <c r="AA73" s="59"/>
      <c r="AB73" s="59"/>
      <c r="AC73" s="59"/>
      <c r="AD73" s="59"/>
      <c r="AE73" s="59"/>
      <c r="AF73" s="59"/>
      <c r="AG73" s="59"/>
      <c r="AH73" s="59"/>
      <c r="AI73" s="59"/>
    </row>
    <row r="74" spans="1:35" ht="12.5">
      <c r="A74" s="59"/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  <c r="AA74" s="59"/>
      <c r="AB74" s="59"/>
      <c r="AC74" s="59"/>
      <c r="AD74" s="59"/>
      <c r="AE74" s="59"/>
      <c r="AF74" s="59"/>
      <c r="AG74" s="59"/>
      <c r="AH74" s="59"/>
      <c r="AI74" s="59"/>
    </row>
    <row r="75" spans="1:35" ht="12.5">
      <c r="A75" s="59"/>
      <c r="B75" s="59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  <c r="AA75" s="59"/>
      <c r="AB75" s="59"/>
      <c r="AC75" s="59"/>
      <c r="AD75" s="59"/>
      <c r="AE75" s="59"/>
      <c r="AF75" s="59"/>
      <c r="AG75" s="59"/>
      <c r="AH75" s="59"/>
      <c r="AI75" s="59"/>
    </row>
    <row r="76" spans="1:35" ht="12.5">
      <c r="A76" s="59"/>
      <c r="B76" s="59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  <c r="AA76" s="59"/>
      <c r="AB76" s="59"/>
      <c r="AC76" s="59"/>
      <c r="AD76" s="59"/>
      <c r="AE76" s="59"/>
      <c r="AF76" s="59"/>
      <c r="AG76" s="59"/>
      <c r="AH76" s="59"/>
      <c r="AI76" s="59"/>
    </row>
    <row r="77" spans="1:35" ht="12.5">
      <c r="A77" s="59"/>
      <c r="B77" s="59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59"/>
      <c r="AC77" s="59"/>
      <c r="AD77" s="59"/>
      <c r="AE77" s="59"/>
      <c r="AF77" s="59"/>
      <c r="AG77" s="59"/>
      <c r="AH77" s="59"/>
      <c r="AI77" s="59"/>
    </row>
    <row r="78" spans="1:35" ht="12.5">
      <c r="A78" s="59"/>
      <c r="B78" s="59"/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  <c r="AA78" s="59"/>
      <c r="AB78" s="59"/>
      <c r="AC78" s="59"/>
      <c r="AD78" s="59"/>
      <c r="AE78" s="59"/>
      <c r="AF78" s="59"/>
      <c r="AG78" s="59"/>
      <c r="AH78" s="59"/>
      <c r="AI78" s="59"/>
    </row>
    <row r="79" spans="1:35" ht="12.5">
      <c r="A79" s="59"/>
      <c r="B79" s="59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  <c r="AA79" s="59"/>
      <c r="AB79" s="59"/>
      <c r="AC79" s="59"/>
      <c r="AD79" s="59"/>
      <c r="AE79" s="59"/>
      <c r="AF79" s="59"/>
      <c r="AG79" s="59"/>
      <c r="AH79" s="59"/>
      <c r="AI79" s="59"/>
    </row>
    <row r="80" spans="1:35" ht="12.5">
      <c r="A80" s="59"/>
      <c r="B80" s="59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  <c r="AA80" s="59"/>
      <c r="AB80" s="59"/>
      <c r="AC80" s="59"/>
      <c r="AD80" s="59"/>
      <c r="AE80" s="59"/>
      <c r="AF80" s="59"/>
      <c r="AG80" s="59"/>
      <c r="AH80" s="59"/>
      <c r="AI80" s="59"/>
    </row>
    <row r="81" spans="1:35" ht="12.5">
      <c r="A81" s="59"/>
      <c r="B81" s="59"/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  <c r="AA81" s="59"/>
      <c r="AB81" s="59"/>
      <c r="AC81" s="59"/>
      <c r="AD81" s="59"/>
      <c r="AE81" s="59"/>
      <c r="AF81" s="59"/>
      <c r="AG81" s="59"/>
      <c r="AH81" s="59"/>
      <c r="AI81" s="59"/>
    </row>
    <row r="82" spans="1:35" ht="12.5">
      <c r="A82" s="59"/>
      <c r="B82" s="59"/>
      <c r="C82" s="59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  <c r="AA82" s="59"/>
      <c r="AB82" s="59"/>
      <c r="AC82" s="59"/>
      <c r="AD82" s="59"/>
      <c r="AE82" s="59"/>
      <c r="AF82" s="59"/>
      <c r="AG82" s="59"/>
      <c r="AH82" s="59"/>
      <c r="AI82" s="59"/>
    </row>
    <row r="83" spans="1:35" ht="12.5">
      <c r="A83" s="59"/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  <c r="AA83" s="59"/>
      <c r="AB83" s="59"/>
      <c r="AC83" s="59"/>
      <c r="AD83" s="59"/>
      <c r="AE83" s="59"/>
      <c r="AF83" s="59"/>
      <c r="AG83" s="59"/>
      <c r="AH83" s="59"/>
      <c r="AI83" s="59"/>
    </row>
    <row r="84" spans="1:35" ht="12.5">
      <c r="A84" s="59"/>
      <c r="B84" s="59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  <c r="AA84" s="59"/>
      <c r="AB84" s="59"/>
      <c r="AC84" s="59"/>
      <c r="AD84" s="59"/>
      <c r="AE84" s="59"/>
      <c r="AF84" s="59"/>
      <c r="AG84" s="59"/>
      <c r="AH84" s="59"/>
      <c r="AI84" s="59"/>
    </row>
    <row r="85" spans="1:35" ht="12.5">
      <c r="A85" s="59"/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  <c r="AA85" s="59"/>
      <c r="AB85" s="59"/>
      <c r="AC85" s="59"/>
      <c r="AD85" s="59"/>
      <c r="AE85" s="59"/>
      <c r="AF85" s="59"/>
      <c r="AG85" s="59"/>
      <c r="AH85" s="59"/>
      <c r="AI85" s="59"/>
    </row>
    <row r="86" spans="1:35" ht="12.5">
      <c r="A86" s="59"/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  <c r="X86" s="59"/>
      <c r="Y86" s="59"/>
      <c r="Z86" s="59"/>
      <c r="AA86" s="59"/>
      <c r="AB86" s="59"/>
      <c r="AC86" s="59"/>
      <c r="AD86" s="59"/>
      <c r="AE86" s="59"/>
      <c r="AF86" s="59"/>
      <c r="AG86" s="59"/>
      <c r="AH86" s="59"/>
      <c r="AI86" s="59"/>
    </row>
    <row r="87" spans="1:35" ht="12.5">
      <c r="A87" s="59"/>
      <c r="B87" s="59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  <c r="AA87" s="59"/>
      <c r="AB87" s="59"/>
      <c r="AC87" s="59"/>
      <c r="AD87" s="59"/>
      <c r="AE87" s="59"/>
      <c r="AF87" s="59"/>
      <c r="AG87" s="59"/>
      <c r="AH87" s="59"/>
      <c r="AI87" s="59"/>
    </row>
    <row r="88" spans="1:35" ht="12.5">
      <c r="A88" s="59"/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  <c r="X88" s="59"/>
      <c r="Y88" s="59"/>
      <c r="Z88" s="59"/>
      <c r="AA88" s="59"/>
      <c r="AB88" s="59"/>
      <c r="AC88" s="59"/>
      <c r="AD88" s="59"/>
      <c r="AE88" s="59"/>
      <c r="AF88" s="59"/>
      <c r="AG88" s="59"/>
      <c r="AH88" s="59"/>
      <c r="AI88" s="59"/>
    </row>
    <row r="89" spans="1:35" ht="12.5">
      <c r="A89" s="59"/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  <c r="AA89" s="59"/>
      <c r="AB89" s="59"/>
      <c r="AC89" s="59"/>
      <c r="AD89" s="59"/>
      <c r="AE89" s="59"/>
      <c r="AF89" s="59"/>
      <c r="AG89" s="59"/>
      <c r="AH89" s="59"/>
      <c r="AI89" s="59"/>
    </row>
    <row r="90" spans="1:35" ht="12.5">
      <c r="A90" s="59"/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  <c r="X90" s="59"/>
      <c r="Y90" s="59"/>
      <c r="Z90" s="59"/>
      <c r="AA90" s="59"/>
      <c r="AB90" s="59"/>
      <c r="AC90" s="59"/>
      <c r="AD90" s="59"/>
      <c r="AE90" s="59"/>
      <c r="AF90" s="59"/>
      <c r="AG90" s="59"/>
      <c r="AH90" s="59"/>
      <c r="AI90" s="59"/>
    </row>
    <row r="91" spans="1:35" ht="12.5">
      <c r="A91" s="59"/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  <c r="X91" s="59"/>
      <c r="Y91" s="59"/>
      <c r="Z91" s="59"/>
      <c r="AA91" s="59"/>
      <c r="AB91" s="59"/>
      <c r="AC91" s="59"/>
      <c r="AD91" s="59"/>
      <c r="AE91" s="59"/>
      <c r="AF91" s="59"/>
      <c r="AG91" s="59"/>
      <c r="AH91" s="59"/>
      <c r="AI91" s="59"/>
    </row>
    <row r="92" spans="1:35" ht="12.5">
      <c r="A92" s="59"/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  <c r="X92" s="59"/>
      <c r="Y92" s="59"/>
      <c r="Z92" s="59"/>
      <c r="AA92" s="59"/>
      <c r="AB92" s="59"/>
      <c r="AC92" s="59"/>
      <c r="AD92" s="59"/>
      <c r="AE92" s="59"/>
      <c r="AF92" s="59"/>
      <c r="AG92" s="59"/>
      <c r="AH92" s="59"/>
      <c r="AI92" s="59"/>
    </row>
    <row r="93" spans="1:35" ht="12.5">
      <c r="A93" s="59"/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  <c r="X93" s="59"/>
      <c r="Y93" s="59"/>
      <c r="Z93" s="59"/>
      <c r="AA93" s="59"/>
      <c r="AB93" s="59"/>
      <c r="AC93" s="59"/>
      <c r="AD93" s="59"/>
      <c r="AE93" s="59"/>
      <c r="AF93" s="59"/>
      <c r="AG93" s="59"/>
      <c r="AH93" s="59"/>
      <c r="AI93" s="59"/>
    </row>
    <row r="94" spans="1:35" ht="12.5">
      <c r="A94" s="59"/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  <c r="X94" s="59"/>
      <c r="Y94" s="59"/>
      <c r="Z94" s="59"/>
      <c r="AA94" s="59"/>
      <c r="AB94" s="59"/>
      <c r="AC94" s="59"/>
      <c r="AD94" s="59"/>
      <c r="AE94" s="59"/>
      <c r="AF94" s="59"/>
      <c r="AG94" s="59"/>
      <c r="AH94" s="59"/>
      <c r="AI94" s="59"/>
    </row>
    <row r="95" spans="1:35" ht="12.5">
      <c r="A95" s="59"/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  <c r="X95" s="59"/>
      <c r="Y95" s="59"/>
      <c r="Z95" s="59"/>
      <c r="AA95" s="59"/>
      <c r="AB95" s="59"/>
      <c r="AC95" s="59"/>
      <c r="AD95" s="59"/>
      <c r="AE95" s="59"/>
      <c r="AF95" s="59"/>
      <c r="AG95" s="59"/>
      <c r="AH95" s="59"/>
      <c r="AI95" s="59"/>
    </row>
    <row r="96" spans="1:35" ht="12.5">
      <c r="A96" s="59"/>
      <c r="B96" s="59"/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  <c r="X96" s="59"/>
      <c r="Y96" s="59"/>
      <c r="Z96" s="59"/>
      <c r="AA96" s="59"/>
      <c r="AB96" s="59"/>
      <c r="AC96" s="59"/>
      <c r="AD96" s="59"/>
      <c r="AE96" s="59"/>
      <c r="AF96" s="59"/>
      <c r="AG96" s="59"/>
      <c r="AH96" s="59"/>
      <c r="AI96" s="59"/>
    </row>
    <row r="97" spans="1:35" ht="12.5">
      <c r="A97" s="59"/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  <c r="X97" s="59"/>
      <c r="Y97" s="59"/>
      <c r="Z97" s="59"/>
      <c r="AA97" s="59"/>
      <c r="AB97" s="59"/>
      <c r="AC97" s="59"/>
      <c r="AD97" s="59"/>
      <c r="AE97" s="59"/>
      <c r="AF97" s="59"/>
      <c r="AG97" s="59"/>
      <c r="AH97" s="59"/>
      <c r="AI97" s="59"/>
    </row>
    <row r="98" spans="1:35" ht="12.5">
      <c r="A98" s="59"/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  <c r="X98" s="59"/>
      <c r="Y98" s="59"/>
      <c r="Z98" s="59"/>
      <c r="AA98" s="59"/>
      <c r="AB98" s="59"/>
      <c r="AC98" s="59"/>
      <c r="AD98" s="59"/>
      <c r="AE98" s="59"/>
      <c r="AF98" s="59"/>
      <c r="AG98" s="59"/>
      <c r="AH98" s="59"/>
      <c r="AI98" s="59"/>
    </row>
    <row r="99" spans="1:35" ht="12.5">
      <c r="A99" s="59"/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59"/>
      <c r="AA99" s="59"/>
      <c r="AB99" s="59"/>
      <c r="AC99" s="59"/>
      <c r="AD99" s="59"/>
      <c r="AE99" s="59"/>
      <c r="AF99" s="59"/>
      <c r="AG99" s="59"/>
      <c r="AH99" s="59"/>
      <c r="AI99" s="59"/>
    </row>
    <row r="100" spans="1:35" ht="12.5">
      <c r="A100" s="59"/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  <c r="X100" s="59"/>
      <c r="Y100" s="59"/>
      <c r="Z100" s="59"/>
      <c r="AA100" s="59"/>
      <c r="AB100" s="59"/>
      <c r="AC100" s="59"/>
      <c r="AD100" s="59"/>
      <c r="AE100" s="59"/>
      <c r="AF100" s="59"/>
      <c r="AG100" s="59"/>
      <c r="AH100" s="59"/>
      <c r="AI100" s="59"/>
    </row>
    <row r="101" spans="1:35" ht="12.5">
      <c r="A101" s="59"/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  <c r="X101" s="59"/>
      <c r="Y101" s="59"/>
      <c r="Z101" s="59"/>
      <c r="AA101" s="59"/>
      <c r="AB101" s="59"/>
      <c r="AC101" s="59"/>
      <c r="AD101" s="59"/>
      <c r="AE101" s="59"/>
      <c r="AF101" s="59"/>
      <c r="AG101" s="59"/>
      <c r="AH101" s="59"/>
      <c r="AI101" s="59"/>
    </row>
    <row r="102" spans="1:35" ht="12.5">
      <c r="A102" s="59"/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  <c r="X102" s="59"/>
      <c r="Y102" s="59"/>
      <c r="Z102" s="59"/>
      <c r="AA102" s="59"/>
      <c r="AB102" s="59"/>
      <c r="AC102" s="59"/>
      <c r="AD102" s="59"/>
      <c r="AE102" s="59"/>
      <c r="AF102" s="59"/>
      <c r="AG102" s="59"/>
      <c r="AH102" s="59"/>
      <c r="AI102" s="59"/>
    </row>
    <row r="103" spans="1:35" ht="12.5">
      <c r="A103" s="59"/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  <c r="AA103" s="59"/>
      <c r="AB103" s="59"/>
      <c r="AC103" s="59"/>
      <c r="AD103" s="59"/>
      <c r="AE103" s="59"/>
      <c r="AF103" s="59"/>
      <c r="AG103" s="59"/>
      <c r="AH103" s="59"/>
      <c r="AI103" s="59"/>
    </row>
    <row r="104" spans="1:35" ht="12.5">
      <c r="A104" s="59"/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  <c r="AA104" s="59"/>
      <c r="AB104" s="59"/>
      <c r="AC104" s="59"/>
      <c r="AD104" s="59"/>
      <c r="AE104" s="59"/>
      <c r="AF104" s="59"/>
      <c r="AG104" s="59"/>
      <c r="AH104" s="59"/>
      <c r="AI104" s="59"/>
    </row>
    <row r="105" spans="1:35" ht="12.5">
      <c r="A105" s="59"/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  <c r="X105" s="59"/>
      <c r="Y105" s="59"/>
      <c r="Z105" s="59"/>
      <c r="AA105" s="59"/>
      <c r="AB105" s="59"/>
      <c r="AC105" s="59"/>
      <c r="AD105" s="59"/>
      <c r="AE105" s="59"/>
      <c r="AF105" s="59"/>
      <c r="AG105" s="59"/>
      <c r="AH105" s="59"/>
      <c r="AI105" s="59"/>
    </row>
    <row r="106" spans="1:35" ht="12.5">
      <c r="A106" s="59"/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  <c r="X106" s="59"/>
      <c r="Y106" s="59"/>
      <c r="Z106" s="59"/>
      <c r="AA106" s="59"/>
      <c r="AB106" s="59"/>
      <c r="AC106" s="59"/>
      <c r="AD106" s="59"/>
      <c r="AE106" s="59"/>
      <c r="AF106" s="59"/>
      <c r="AG106" s="59"/>
      <c r="AH106" s="59"/>
      <c r="AI106" s="59"/>
    </row>
    <row r="107" spans="1:35" ht="12.5">
      <c r="A107" s="59"/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  <c r="X107" s="59"/>
      <c r="Y107" s="59"/>
      <c r="Z107" s="59"/>
      <c r="AA107" s="59"/>
      <c r="AB107" s="59"/>
      <c r="AC107" s="59"/>
      <c r="AD107" s="59"/>
      <c r="AE107" s="59"/>
      <c r="AF107" s="59"/>
      <c r="AG107" s="59"/>
      <c r="AH107" s="59"/>
      <c r="AI107" s="59"/>
    </row>
    <row r="108" spans="1:35" ht="12.5">
      <c r="A108" s="59"/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  <c r="X108" s="59"/>
      <c r="Y108" s="59"/>
      <c r="Z108" s="59"/>
      <c r="AA108" s="59"/>
      <c r="AB108" s="59"/>
      <c r="AC108" s="59"/>
      <c r="AD108" s="59"/>
      <c r="AE108" s="59"/>
      <c r="AF108" s="59"/>
      <c r="AG108" s="59"/>
      <c r="AH108" s="59"/>
      <c r="AI108" s="59"/>
    </row>
    <row r="109" spans="1:35" ht="12.5">
      <c r="A109" s="59"/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  <c r="X109" s="59"/>
      <c r="Y109" s="59"/>
      <c r="Z109" s="59"/>
      <c r="AA109" s="59"/>
      <c r="AB109" s="59"/>
      <c r="AC109" s="59"/>
      <c r="AD109" s="59"/>
      <c r="AE109" s="59"/>
      <c r="AF109" s="59"/>
      <c r="AG109" s="59"/>
      <c r="AH109" s="59"/>
      <c r="AI109" s="59"/>
    </row>
    <row r="110" spans="1:35" ht="12.5">
      <c r="A110" s="59"/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  <c r="AA110" s="59"/>
      <c r="AB110" s="59"/>
      <c r="AC110" s="59"/>
      <c r="AD110" s="59"/>
      <c r="AE110" s="59"/>
      <c r="AF110" s="59"/>
      <c r="AG110" s="59"/>
      <c r="AH110" s="59"/>
      <c r="AI110" s="59"/>
    </row>
    <row r="111" spans="1:35" ht="12.5">
      <c r="A111" s="59"/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  <c r="X111" s="59"/>
      <c r="Y111" s="59"/>
      <c r="Z111" s="59"/>
      <c r="AA111" s="59"/>
      <c r="AB111" s="59"/>
      <c r="AC111" s="59"/>
      <c r="AD111" s="59"/>
      <c r="AE111" s="59"/>
      <c r="AF111" s="59"/>
      <c r="AG111" s="59"/>
      <c r="AH111" s="59"/>
      <c r="AI111" s="59"/>
    </row>
    <row r="112" spans="1:35" ht="12.5">
      <c r="A112" s="59"/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  <c r="X112" s="59"/>
      <c r="Y112" s="59"/>
      <c r="Z112" s="59"/>
      <c r="AA112" s="59"/>
      <c r="AB112" s="59"/>
      <c r="AC112" s="59"/>
      <c r="AD112" s="59"/>
      <c r="AE112" s="59"/>
      <c r="AF112" s="59"/>
      <c r="AG112" s="59"/>
      <c r="AH112" s="59"/>
      <c r="AI112" s="59"/>
    </row>
    <row r="113" spans="1:35" ht="12.5">
      <c r="A113" s="59"/>
      <c r="B113" s="59"/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  <c r="X113" s="59"/>
      <c r="Y113" s="59"/>
      <c r="Z113" s="59"/>
      <c r="AA113" s="59"/>
      <c r="AB113" s="59"/>
      <c r="AC113" s="59"/>
      <c r="AD113" s="59"/>
      <c r="AE113" s="59"/>
      <c r="AF113" s="59"/>
      <c r="AG113" s="59"/>
      <c r="AH113" s="59"/>
      <c r="AI113" s="59"/>
    </row>
    <row r="114" spans="1:35" ht="12.5">
      <c r="A114" s="59"/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  <c r="X114" s="59"/>
      <c r="Y114" s="59"/>
      <c r="Z114" s="59"/>
      <c r="AA114" s="59"/>
      <c r="AB114" s="59"/>
      <c r="AC114" s="59"/>
      <c r="AD114" s="59"/>
      <c r="AE114" s="59"/>
      <c r="AF114" s="59"/>
      <c r="AG114" s="59"/>
      <c r="AH114" s="59"/>
      <c r="AI114" s="59"/>
    </row>
    <row r="115" spans="1:35" ht="12.5">
      <c r="A115" s="59"/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Z115" s="59"/>
      <c r="AA115" s="59"/>
      <c r="AB115" s="59"/>
      <c r="AC115" s="59"/>
      <c r="AD115" s="59"/>
      <c r="AE115" s="59"/>
      <c r="AF115" s="59"/>
      <c r="AG115" s="59"/>
      <c r="AH115" s="59"/>
      <c r="AI115" s="59"/>
    </row>
    <row r="116" spans="1:35" ht="12.5">
      <c r="A116" s="59"/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  <c r="X116" s="59"/>
      <c r="Y116" s="59"/>
      <c r="Z116" s="59"/>
      <c r="AA116" s="59"/>
      <c r="AB116" s="59"/>
      <c r="AC116" s="59"/>
      <c r="AD116" s="59"/>
      <c r="AE116" s="59"/>
      <c r="AF116" s="59"/>
      <c r="AG116" s="59"/>
      <c r="AH116" s="59"/>
      <c r="AI116" s="59"/>
    </row>
    <row r="117" spans="1:35" ht="12.5">
      <c r="A117" s="59"/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  <c r="X117" s="59"/>
      <c r="Y117" s="59"/>
      <c r="Z117" s="59"/>
      <c r="AA117" s="59"/>
      <c r="AB117" s="59"/>
      <c r="AC117" s="59"/>
      <c r="AD117" s="59"/>
      <c r="AE117" s="59"/>
      <c r="AF117" s="59"/>
      <c r="AG117" s="59"/>
      <c r="AH117" s="59"/>
      <c r="AI117" s="59"/>
    </row>
    <row r="118" spans="1:35" ht="12.5">
      <c r="A118" s="59"/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  <c r="X118" s="59"/>
      <c r="Y118" s="59"/>
      <c r="Z118" s="59"/>
      <c r="AA118" s="59"/>
      <c r="AB118" s="59"/>
      <c r="AC118" s="59"/>
      <c r="AD118" s="59"/>
      <c r="AE118" s="59"/>
      <c r="AF118" s="59"/>
      <c r="AG118" s="59"/>
      <c r="AH118" s="59"/>
      <c r="AI118" s="59"/>
    </row>
    <row r="119" spans="1:35" ht="12.5">
      <c r="A119" s="59"/>
      <c r="B119" s="59"/>
      <c r="C119" s="59"/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  <c r="X119" s="59"/>
      <c r="Y119" s="59"/>
      <c r="Z119" s="59"/>
      <c r="AA119" s="59"/>
      <c r="AB119" s="59"/>
      <c r="AC119" s="59"/>
      <c r="AD119" s="59"/>
      <c r="AE119" s="59"/>
      <c r="AF119" s="59"/>
      <c r="AG119" s="59"/>
      <c r="AH119" s="59"/>
      <c r="AI119" s="59"/>
    </row>
    <row r="120" spans="1:35" ht="12.5">
      <c r="A120" s="59"/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  <c r="X120" s="59"/>
      <c r="Y120" s="59"/>
      <c r="Z120" s="59"/>
      <c r="AA120" s="59"/>
      <c r="AB120" s="59"/>
      <c r="AC120" s="59"/>
      <c r="AD120" s="59"/>
      <c r="AE120" s="59"/>
      <c r="AF120" s="59"/>
      <c r="AG120" s="59"/>
      <c r="AH120" s="59"/>
      <c r="AI120" s="59"/>
    </row>
    <row r="121" spans="1:35" ht="12.5">
      <c r="A121" s="59"/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  <c r="X121" s="59"/>
      <c r="Y121" s="59"/>
      <c r="Z121" s="59"/>
      <c r="AA121" s="59"/>
      <c r="AB121" s="59"/>
      <c r="AC121" s="59"/>
      <c r="AD121" s="59"/>
      <c r="AE121" s="59"/>
      <c r="AF121" s="59"/>
      <c r="AG121" s="59"/>
      <c r="AH121" s="59"/>
      <c r="AI121" s="59"/>
    </row>
    <row r="122" spans="1:35" ht="12.5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  <c r="X122" s="59"/>
      <c r="Y122" s="59"/>
      <c r="Z122" s="59"/>
      <c r="AA122" s="59"/>
      <c r="AB122" s="59"/>
      <c r="AC122" s="59"/>
      <c r="AD122" s="59"/>
      <c r="AE122" s="59"/>
      <c r="AF122" s="59"/>
      <c r="AG122" s="59"/>
      <c r="AH122" s="59"/>
      <c r="AI122" s="59"/>
    </row>
    <row r="123" spans="1:35" ht="12.5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  <c r="X123" s="59"/>
      <c r="Y123" s="59"/>
      <c r="Z123" s="59"/>
      <c r="AA123" s="59"/>
      <c r="AB123" s="59"/>
      <c r="AC123" s="59"/>
      <c r="AD123" s="59"/>
      <c r="AE123" s="59"/>
      <c r="AF123" s="59"/>
      <c r="AG123" s="59"/>
      <c r="AH123" s="59"/>
      <c r="AI123" s="59"/>
    </row>
    <row r="124" spans="1:35" ht="12.5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  <c r="X124" s="59"/>
      <c r="Y124" s="59"/>
      <c r="Z124" s="59"/>
      <c r="AA124" s="59"/>
      <c r="AB124" s="59"/>
      <c r="AC124" s="59"/>
      <c r="AD124" s="59"/>
      <c r="AE124" s="59"/>
      <c r="AF124" s="59"/>
      <c r="AG124" s="59"/>
      <c r="AH124" s="59"/>
      <c r="AI124" s="59"/>
    </row>
    <row r="125" spans="1:35" ht="12.5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  <c r="X125" s="59"/>
      <c r="Y125" s="59"/>
      <c r="Z125" s="59"/>
      <c r="AA125" s="59"/>
      <c r="AB125" s="59"/>
      <c r="AC125" s="59"/>
      <c r="AD125" s="59"/>
      <c r="AE125" s="59"/>
      <c r="AF125" s="59"/>
      <c r="AG125" s="59"/>
      <c r="AH125" s="59"/>
      <c r="AI125" s="59"/>
    </row>
    <row r="126" spans="1:35" ht="12.5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  <c r="X126" s="59"/>
      <c r="Y126" s="59"/>
      <c r="Z126" s="59"/>
      <c r="AA126" s="59"/>
      <c r="AB126" s="59"/>
      <c r="AC126" s="59"/>
      <c r="AD126" s="59"/>
      <c r="AE126" s="59"/>
      <c r="AF126" s="59"/>
      <c r="AG126" s="59"/>
      <c r="AH126" s="59"/>
      <c r="AI126" s="59"/>
    </row>
    <row r="127" spans="1:35" ht="12.5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  <c r="X127" s="59"/>
      <c r="Y127" s="59"/>
      <c r="Z127" s="59"/>
      <c r="AA127" s="59"/>
      <c r="AB127" s="59"/>
      <c r="AC127" s="59"/>
      <c r="AD127" s="59"/>
      <c r="AE127" s="59"/>
      <c r="AF127" s="59"/>
      <c r="AG127" s="59"/>
      <c r="AH127" s="59"/>
      <c r="AI127" s="59"/>
    </row>
    <row r="128" spans="1:35" ht="12.5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  <c r="AA128" s="59"/>
      <c r="AB128" s="59"/>
      <c r="AC128" s="59"/>
      <c r="AD128" s="59"/>
      <c r="AE128" s="59"/>
      <c r="AF128" s="59"/>
      <c r="AG128" s="59"/>
      <c r="AH128" s="59"/>
      <c r="AI128" s="59"/>
    </row>
    <row r="129" spans="1:35" ht="12.5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  <c r="X129" s="59"/>
      <c r="Y129" s="59"/>
      <c r="Z129" s="59"/>
      <c r="AA129" s="59"/>
      <c r="AB129" s="59"/>
      <c r="AC129" s="59"/>
      <c r="AD129" s="59"/>
      <c r="AE129" s="59"/>
      <c r="AF129" s="59"/>
      <c r="AG129" s="59"/>
      <c r="AH129" s="59"/>
      <c r="AI129" s="59"/>
    </row>
    <row r="130" spans="1:35" ht="12.5">
      <c r="A130" s="59"/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  <c r="X130" s="59"/>
      <c r="Y130" s="59"/>
      <c r="Z130" s="59"/>
      <c r="AA130" s="59"/>
      <c r="AB130" s="59"/>
      <c r="AC130" s="59"/>
      <c r="AD130" s="59"/>
      <c r="AE130" s="59"/>
      <c r="AF130" s="59"/>
      <c r="AG130" s="59"/>
      <c r="AH130" s="59"/>
      <c r="AI130" s="59"/>
    </row>
    <row r="131" spans="1:35" ht="12.5">
      <c r="A131" s="59"/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  <c r="X131" s="59"/>
      <c r="Y131" s="59"/>
      <c r="Z131" s="59"/>
      <c r="AA131" s="59"/>
      <c r="AB131" s="59"/>
      <c r="AC131" s="59"/>
      <c r="AD131" s="59"/>
      <c r="AE131" s="59"/>
      <c r="AF131" s="59"/>
      <c r="AG131" s="59"/>
      <c r="AH131" s="59"/>
      <c r="AI131" s="59"/>
    </row>
    <row r="132" spans="1:35" ht="12.5">
      <c r="A132" s="59"/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  <c r="X132" s="59"/>
      <c r="Y132" s="59"/>
      <c r="Z132" s="59"/>
      <c r="AA132" s="59"/>
      <c r="AB132" s="59"/>
      <c r="AC132" s="59"/>
      <c r="AD132" s="59"/>
      <c r="AE132" s="59"/>
      <c r="AF132" s="59"/>
      <c r="AG132" s="59"/>
      <c r="AH132" s="59"/>
      <c r="AI132" s="59"/>
    </row>
    <row r="133" spans="1:35" ht="12.5">
      <c r="A133" s="59"/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  <c r="X133" s="59"/>
      <c r="Y133" s="59"/>
      <c r="Z133" s="59"/>
      <c r="AA133" s="59"/>
      <c r="AB133" s="59"/>
      <c r="AC133" s="59"/>
      <c r="AD133" s="59"/>
      <c r="AE133" s="59"/>
      <c r="AF133" s="59"/>
      <c r="AG133" s="59"/>
      <c r="AH133" s="59"/>
      <c r="AI133" s="59"/>
    </row>
    <row r="134" spans="1:35" ht="12.5">
      <c r="A134" s="59"/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  <c r="X134" s="59"/>
      <c r="Y134" s="59"/>
      <c r="Z134" s="59"/>
      <c r="AA134" s="59"/>
      <c r="AB134" s="59"/>
      <c r="AC134" s="59"/>
      <c r="AD134" s="59"/>
      <c r="AE134" s="59"/>
      <c r="AF134" s="59"/>
      <c r="AG134" s="59"/>
      <c r="AH134" s="59"/>
      <c r="AI134" s="59"/>
    </row>
    <row r="135" spans="1:35" ht="12.5">
      <c r="A135" s="59"/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  <c r="X135" s="59"/>
      <c r="Y135" s="59"/>
      <c r="Z135" s="59"/>
      <c r="AA135" s="59"/>
      <c r="AB135" s="59"/>
      <c r="AC135" s="59"/>
      <c r="AD135" s="59"/>
      <c r="AE135" s="59"/>
      <c r="AF135" s="59"/>
      <c r="AG135" s="59"/>
      <c r="AH135" s="59"/>
      <c r="AI135" s="59"/>
    </row>
    <row r="136" spans="1:35" ht="12.5">
      <c r="A136" s="59"/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  <c r="X136" s="59"/>
      <c r="Y136" s="59"/>
      <c r="Z136" s="59"/>
      <c r="AA136" s="59"/>
      <c r="AB136" s="59"/>
      <c r="AC136" s="59"/>
      <c r="AD136" s="59"/>
      <c r="AE136" s="59"/>
      <c r="AF136" s="59"/>
      <c r="AG136" s="59"/>
      <c r="AH136" s="59"/>
      <c r="AI136" s="59"/>
    </row>
    <row r="137" spans="1:35" ht="12.5">
      <c r="A137" s="59"/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59"/>
      <c r="AA137" s="59"/>
      <c r="AB137" s="59"/>
      <c r="AC137" s="59"/>
      <c r="AD137" s="59"/>
      <c r="AE137" s="59"/>
      <c r="AF137" s="59"/>
      <c r="AG137" s="59"/>
      <c r="AH137" s="59"/>
      <c r="AI137" s="59"/>
    </row>
    <row r="138" spans="1:35" ht="12.5">
      <c r="A138" s="59"/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  <c r="X138" s="59"/>
      <c r="Y138" s="59"/>
      <c r="Z138" s="59"/>
      <c r="AA138" s="59"/>
      <c r="AB138" s="59"/>
      <c r="AC138" s="59"/>
      <c r="AD138" s="59"/>
      <c r="AE138" s="59"/>
      <c r="AF138" s="59"/>
      <c r="AG138" s="59"/>
      <c r="AH138" s="59"/>
      <c r="AI138" s="59"/>
    </row>
    <row r="139" spans="1:35" ht="12.5">
      <c r="A139" s="59"/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  <c r="X139" s="59"/>
      <c r="Y139" s="59"/>
      <c r="Z139" s="59"/>
      <c r="AA139" s="59"/>
      <c r="AB139" s="59"/>
      <c r="AC139" s="59"/>
      <c r="AD139" s="59"/>
      <c r="AE139" s="59"/>
      <c r="AF139" s="59"/>
      <c r="AG139" s="59"/>
      <c r="AH139" s="59"/>
      <c r="AI139" s="59"/>
    </row>
    <row r="140" spans="1:35" ht="12.5">
      <c r="A140" s="59"/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  <c r="X140" s="59"/>
      <c r="Y140" s="59"/>
      <c r="Z140" s="59"/>
      <c r="AA140" s="59"/>
      <c r="AB140" s="59"/>
      <c r="AC140" s="59"/>
      <c r="AD140" s="59"/>
      <c r="AE140" s="59"/>
      <c r="AF140" s="59"/>
      <c r="AG140" s="59"/>
      <c r="AH140" s="59"/>
      <c r="AI140" s="59"/>
    </row>
    <row r="141" spans="1:35" ht="12.5">
      <c r="A141" s="59"/>
      <c r="B141" s="59"/>
      <c r="C141" s="59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  <c r="X141" s="59"/>
      <c r="Y141" s="59"/>
      <c r="Z141" s="59"/>
      <c r="AA141" s="59"/>
      <c r="AB141" s="59"/>
      <c r="AC141" s="59"/>
      <c r="AD141" s="59"/>
      <c r="AE141" s="59"/>
      <c r="AF141" s="59"/>
      <c r="AG141" s="59"/>
      <c r="AH141" s="59"/>
      <c r="AI141" s="59"/>
    </row>
    <row r="142" spans="1:35" ht="12.5">
      <c r="A142" s="59"/>
      <c r="B142" s="59"/>
      <c r="C142" s="59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  <c r="X142" s="59"/>
      <c r="Y142" s="59"/>
      <c r="Z142" s="59"/>
      <c r="AA142" s="59"/>
      <c r="AB142" s="59"/>
      <c r="AC142" s="59"/>
      <c r="AD142" s="59"/>
      <c r="AE142" s="59"/>
      <c r="AF142" s="59"/>
      <c r="AG142" s="59"/>
      <c r="AH142" s="59"/>
      <c r="AI142" s="59"/>
    </row>
    <row r="143" spans="1:35" ht="12.5">
      <c r="A143" s="59"/>
      <c r="B143" s="59"/>
      <c r="C143" s="59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  <c r="X143" s="59"/>
      <c r="Y143" s="59"/>
      <c r="Z143" s="59"/>
      <c r="AA143" s="59"/>
      <c r="AB143" s="59"/>
      <c r="AC143" s="59"/>
      <c r="AD143" s="59"/>
      <c r="AE143" s="59"/>
      <c r="AF143" s="59"/>
      <c r="AG143" s="59"/>
      <c r="AH143" s="59"/>
      <c r="AI143" s="59"/>
    </row>
    <row r="144" spans="1:35" ht="12.5">
      <c r="A144" s="59"/>
      <c r="B144" s="59"/>
      <c r="C144" s="59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  <c r="X144" s="59"/>
      <c r="Y144" s="59"/>
      <c r="Z144" s="59"/>
      <c r="AA144" s="59"/>
      <c r="AB144" s="59"/>
      <c r="AC144" s="59"/>
      <c r="AD144" s="59"/>
      <c r="AE144" s="59"/>
      <c r="AF144" s="59"/>
      <c r="AG144" s="59"/>
      <c r="AH144" s="59"/>
      <c r="AI144" s="59"/>
    </row>
    <row r="145" spans="1:35" ht="12.5">
      <c r="A145" s="59"/>
      <c r="B145" s="59"/>
      <c r="C145" s="59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  <c r="X145" s="59"/>
      <c r="Y145" s="59"/>
      <c r="Z145" s="59"/>
      <c r="AA145" s="59"/>
      <c r="AB145" s="59"/>
      <c r="AC145" s="59"/>
      <c r="AD145" s="59"/>
      <c r="AE145" s="59"/>
      <c r="AF145" s="59"/>
      <c r="AG145" s="59"/>
      <c r="AH145" s="59"/>
      <c r="AI145" s="59"/>
    </row>
    <row r="146" spans="1:35" ht="12.5">
      <c r="A146" s="59"/>
      <c r="B146" s="59"/>
      <c r="C146" s="59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  <c r="X146" s="59"/>
      <c r="Y146" s="59"/>
      <c r="Z146" s="59"/>
      <c r="AA146" s="59"/>
      <c r="AB146" s="59"/>
      <c r="AC146" s="59"/>
      <c r="AD146" s="59"/>
      <c r="AE146" s="59"/>
      <c r="AF146" s="59"/>
      <c r="AG146" s="59"/>
      <c r="AH146" s="59"/>
      <c r="AI146" s="59"/>
    </row>
    <row r="147" spans="1:35" ht="12.5">
      <c r="A147" s="59"/>
      <c r="B147" s="59"/>
      <c r="C147" s="59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  <c r="X147" s="59"/>
      <c r="Y147" s="59"/>
      <c r="Z147" s="59"/>
      <c r="AA147" s="59"/>
      <c r="AB147" s="59"/>
      <c r="AC147" s="59"/>
      <c r="AD147" s="59"/>
      <c r="AE147" s="59"/>
      <c r="AF147" s="59"/>
      <c r="AG147" s="59"/>
      <c r="AH147" s="59"/>
      <c r="AI147" s="59"/>
    </row>
    <row r="148" spans="1:35" ht="12.5">
      <c r="A148" s="59"/>
      <c r="B148" s="59"/>
      <c r="C148" s="59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  <c r="X148" s="59"/>
      <c r="Y148" s="59"/>
      <c r="Z148" s="59"/>
      <c r="AA148" s="59"/>
      <c r="AB148" s="59"/>
      <c r="AC148" s="59"/>
      <c r="AD148" s="59"/>
      <c r="AE148" s="59"/>
      <c r="AF148" s="59"/>
      <c r="AG148" s="59"/>
      <c r="AH148" s="59"/>
      <c r="AI148" s="59"/>
    </row>
    <row r="149" spans="1:35" ht="12.5">
      <c r="A149" s="59"/>
      <c r="B149" s="59"/>
      <c r="C149" s="59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  <c r="X149" s="59"/>
      <c r="Y149" s="59"/>
      <c r="Z149" s="59"/>
      <c r="AA149" s="59"/>
      <c r="AB149" s="59"/>
      <c r="AC149" s="59"/>
      <c r="AD149" s="59"/>
      <c r="AE149" s="59"/>
      <c r="AF149" s="59"/>
      <c r="AG149" s="59"/>
      <c r="AH149" s="59"/>
      <c r="AI149" s="59"/>
    </row>
    <row r="150" spans="1:35" ht="12.5">
      <c r="A150" s="59"/>
      <c r="B150" s="59"/>
      <c r="C150" s="59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  <c r="AA150" s="59"/>
      <c r="AB150" s="59"/>
      <c r="AC150" s="59"/>
      <c r="AD150" s="59"/>
      <c r="AE150" s="59"/>
      <c r="AF150" s="59"/>
      <c r="AG150" s="59"/>
      <c r="AH150" s="59"/>
      <c r="AI150" s="59"/>
    </row>
    <row r="151" spans="1:35" ht="12.5">
      <c r="A151" s="59"/>
      <c r="B151" s="59"/>
      <c r="C151" s="59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  <c r="X151" s="59"/>
      <c r="Y151" s="59"/>
      <c r="Z151" s="59"/>
      <c r="AA151" s="59"/>
      <c r="AB151" s="59"/>
      <c r="AC151" s="59"/>
      <c r="AD151" s="59"/>
      <c r="AE151" s="59"/>
      <c r="AF151" s="59"/>
      <c r="AG151" s="59"/>
      <c r="AH151" s="59"/>
      <c r="AI151" s="59"/>
    </row>
    <row r="152" spans="1:35" ht="12.5">
      <c r="A152" s="59"/>
      <c r="B152" s="59"/>
      <c r="C152" s="59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  <c r="X152" s="59"/>
      <c r="Y152" s="59"/>
      <c r="Z152" s="59"/>
      <c r="AA152" s="59"/>
      <c r="AB152" s="59"/>
      <c r="AC152" s="59"/>
      <c r="AD152" s="59"/>
      <c r="AE152" s="59"/>
      <c r="AF152" s="59"/>
      <c r="AG152" s="59"/>
      <c r="AH152" s="59"/>
      <c r="AI152" s="59"/>
    </row>
    <row r="153" spans="1:35" ht="12.5">
      <c r="A153" s="59"/>
      <c r="B153" s="59"/>
      <c r="C153" s="59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  <c r="X153" s="59"/>
      <c r="Y153" s="59"/>
      <c r="Z153" s="59"/>
      <c r="AA153" s="59"/>
      <c r="AB153" s="59"/>
      <c r="AC153" s="59"/>
      <c r="AD153" s="59"/>
      <c r="AE153" s="59"/>
      <c r="AF153" s="59"/>
      <c r="AG153" s="59"/>
      <c r="AH153" s="59"/>
      <c r="AI153" s="59"/>
    </row>
    <row r="154" spans="1:35" ht="12.5">
      <c r="A154" s="59"/>
      <c r="B154" s="59"/>
      <c r="C154" s="59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  <c r="X154" s="59"/>
      <c r="Y154" s="59"/>
      <c r="Z154" s="59"/>
      <c r="AA154" s="59"/>
      <c r="AB154" s="59"/>
      <c r="AC154" s="59"/>
      <c r="AD154" s="59"/>
      <c r="AE154" s="59"/>
      <c r="AF154" s="59"/>
      <c r="AG154" s="59"/>
      <c r="AH154" s="59"/>
      <c r="AI154" s="59"/>
    </row>
    <row r="155" spans="1:35" ht="12.5">
      <c r="A155" s="59"/>
      <c r="B155" s="59"/>
      <c r="C155" s="59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  <c r="X155" s="59"/>
      <c r="Y155" s="59"/>
      <c r="Z155" s="59"/>
      <c r="AA155" s="59"/>
      <c r="AB155" s="59"/>
      <c r="AC155" s="59"/>
      <c r="AD155" s="59"/>
      <c r="AE155" s="59"/>
      <c r="AF155" s="59"/>
      <c r="AG155" s="59"/>
      <c r="AH155" s="59"/>
      <c r="AI155" s="59"/>
    </row>
    <row r="156" spans="1:35" ht="12.5">
      <c r="A156" s="59"/>
      <c r="B156" s="59"/>
      <c r="C156" s="59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  <c r="X156" s="59"/>
      <c r="Y156" s="59"/>
      <c r="Z156" s="59"/>
      <c r="AA156" s="59"/>
      <c r="AB156" s="59"/>
      <c r="AC156" s="59"/>
      <c r="AD156" s="59"/>
      <c r="AE156" s="59"/>
      <c r="AF156" s="59"/>
      <c r="AG156" s="59"/>
      <c r="AH156" s="59"/>
      <c r="AI156" s="59"/>
    </row>
    <row r="157" spans="1:35" ht="12.5">
      <c r="A157" s="59"/>
      <c r="B157" s="59"/>
      <c r="C157" s="59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  <c r="AA157" s="59"/>
      <c r="AB157" s="59"/>
      <c r="AC157" s="59"/>
      <c r="AD157" s="59"/>
      <c r="AE157" s="59"/>
      <c r="AF157" s="59"/>
      <c r="AG157" s="59"/>
      <c r="AH157" s="59"/>
      <c r="AI157" s="59"/>
    </row>
    <row r="158" spans="1:35" ht="12.5">
      <c r="A158" s="59"/>
      <c r="B158" s="59"/>
      <c r="C158" s="59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  <c r="X158" s="59"/>
      <c r="Y158" s="59"/>
      <c r="Z158" s="59"/>
      <c r="AA158" s="59"/>
      <c r="AB158" s="59"/>
      <c r="AC158" s="59"/>
      <c r="AD158" s="59"/>
      <c r="AE158" s="59"/>
      <c r="AF158" s="59"/>
      <c r="AG158" s="59"/>
      <c r="AH158" s="59"/>
      <c r="AI158" s="59"/>
    </row>
    <row r="159" spans="1:35" ht="12.5">
      <c r="A159" s="59"/>
      <c r="B159" s="59"/>
      <c r="C159" s="59"/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59"/>
      <c r="W159" s="59"/>
      <c r="X159" s="59"/>
      <c r="Y159" s="59"/>
      <c r="Z159" s="59"/>
      <c r="AA159" s="59"/>
      <c r="AB159" s="59"/>
      <c r="AC159" s="59"/>
      <c r="AD159" s="59"/>
      <c r="AE159" s="59"/>
      <c r="AF159" s="59"/>
      <c r="AG159" s="59"/>
      <c r="AH159" s="59"/>
      <c r="AI159" s="59"/>
    </row>
    <row r="160" spans="1:35" ht="12.5">
      <c r="A160" s="59"/>
      <c r="B160" s="59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59"/>
      <c r="W160" s="59"/>
      <c r="X160" s="59"/>
      <c r="Y160" s="59"/>
      <c r="Z160" s="59"/>
      <c r="AA160" s="59"/>
      <c r="AB160" s="59"/>
      <c r="AC160" s="59"/>
      <c r="AD160" s="59"/>
      <c r="AE160" s="59"/>
      <c r="AF160" s="59"/>
      <c r="AG160" s="59"/>
      <c r="AH160" s="59"/>
      <c r="AI160" s="59"/>
    </row>
    <row r="161" spans="1:35" ht="12.5">
      <c r="A161" s="59"/>
      <c r="B161" s="59"/>
      <c r="C161" s="59"/>
      <c r="D161" s="59"/>
      <c r="E161" s="59"/>
      <c r="F161" s="59"/>
      <c r="G161" s="59"/>
      <c r="H161" s="59"/>
      <c r="I161" s="5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59"/>
      <c r="W161" s="59"/>
      <c r="X161" s="59"/>
      <c r="Y161" s="59"/>
      <c r="Z161" s="59"/>
      <c r="AA161" s="59"/>
      <c r="AB161" s="59"/>
      <c r="AC161" s="59"/>
      <c r="AD161" s="59"/>
      <c r="AE161" s="59"/>
      <c r="AF161" s="59"/>
      <c r="AG161" s="59"/>
      <c r="AH161" s="59"/>
      <c r="AI161" s="59"/>
    </row>
    <row r="162" spans="1:35" ht="12.5">
      <c r="A162" s="59"/>
      <c r="B162" s="59"/>
      <c r="C162" s="59"/>
      <c r="D162" s="59"/>
      <c r="E162" s="59"/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59"/>
      <c r="W162" s="59"/>
      <c r="X162" s="59"/>
      <c r="Y162" s="59"/>
      <c r="Z162" s="59"/>
      <c r="AA162" s="59"/>
      <c r="AB162" s="59"/>
      <c r="AC162" s="59"/>
      <c r="AD162" s="59"/>
      <c r="AE162" s="59"/>
      <c r="AF162" s="59"/>
      <c r="AG162" s="59"/>
      <c r="AH162" s="59"/>
      <c r="AI162" s="59"/>
    </row>
    <row r="163" spans="1:35" ht="12.5">
      <c r="A163" s="59"/>
      <c r="B163" s="59"/>
      <c r="C163" s="59"/>
      <c r="D163" s="59"/>
      <c r="E163" s="59"/>
      <c r="F163" s="59"/>
      <c r="G163" s="59"/>
      <c r="H163" s="59"/>
      <c r="I163" s="5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59"/>
      <c r="W163" s="59"/>
      <c r="X163" s="59"/>
      <c r="Y163" s="59"/>
      <c r="Z163" s="59"/>
      <c r="AA163" s="59"/>
      <c r="AB163" s="59"/>
      <c r="AC163" s="59"/>
      <c r="AD163" s="59"/>
      <c r="AE163" s="59"/>
      <c r="AF163" s="59"/>
      <c r="AG163" s="59"/>
      <c r="AH163" s="59"/>
      <c r="AI163" s="59"/>
    </row>
    <row r="164" spans="1:35" ht="12.5">
      <c r="A164" s="59"/>
      <c r="B164" s="59"/>
      <c r="C164" s="59"/>
      <c r="D164" s="59"/>
      <c r="E164" s="59"/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59"/>
      <c r="W164" s="59"/>
      <c r="X164" s="59"/>
      <c r="Y164" s="59"/>
      <c r="Z164" s="59"/>
      <c r="AA164" s="59"/>
      <c r="AB164" s="59"/>
      <c r="AC164" s="59"/>
      <c r="AD164" s="59"/>
      <c r="AE164" s="59"/>
      <c r="AF164" s="59"/>
      <c r="AG164" s="59"/>
      <c r="AH164" s="59"/>
      <c r="AI164" s="59"/>
    </row>
    <row r="165" spans="1:35" ht="12.5">
      <c r="A165" s="59"/>
      <c r="B165" s="59"/>
      <c r="C165" s="59"/>
      <c r="D165" s="59"/>
      <c r="E165" s="59"/>
      <c r="F165" s="59"/>
      <c r="G165" s="59"/>
      <c r="H165" s="59"/>
      <c r="I165" s="5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59"/>
      <c r="W165" s="59"/>
      <c r="X165" s="59"/>
      <c r="Y165" s="59"/>
      <c r="Z165" s="59"/>
      <c r="AA165" s="59"/>
      <c r="AB165" s="59"/>
      <c r="AC165" s="59"/>
      <c r="AD165" s="59"/>
      <c r="AE165" s="59"/>
      <c r="AF165" s="59"/>
      <c r="AG165" s="59"/>
      <c r="AH165" s="59"/>
      <c r="AI165" s="59"/>
    </row>
    <row r="166" spans="1:35" ht="12.5">
      <c r="A166" s="59"/>
      <c r="B166" s="59"/>
      <c r="C166" s="59"/>
      <c r="D166" s="59"/>
      <c r="E166" s="59"/>
      <c r="F166" s="59"/>
      <c r="G166" s="59"/>
      <c r="H166" s="59"/>
      <c r="I166" s="5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59"/>
      <c r="W166" s="59"/>
      <c r="X166" s="59"/>
      <c r="Y166" s="59"/>
      <c r="Z166" s="59"/>
      <c r="AA166" s="59"/>
      <c r="AB166" s="59"/>
      <c r="AC166" s="59"/>
      <c r="AD166" s="59"/>
      <c r="AE166" s="59"/>
      <c r="AF166" s="59"/>
      <c r="AG166" s="59"/>
      <c r="AH166" s="59"/>
      <c r="AI166" s="59"/>
    </row>
    <row r="167" spans="1:35" ht="12.5">
      <c r="A167" s="59"/>
      <c r="B167" s="59"/>
      <c r="C167" s="59"/>
      <c r="D167" s="59"/>
      <c r="E167" s="59"/>
      <c r="F167" s="59"/>
      <c r="G167" s="59"/>
      <c r="H167" s="59"/>
      <c r="I167" s="5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59"/>
      <c r="W167" s="59"/>
      <c r="X167" s="59"/>
      <c r="Y167" s="59"/>
      <c r="Z167" s="59"/>
      <c r="AA167" s="59"/>
      <c r="AB167" s="59"/>
      <c r="AC167" s="59"/>
      <c r="AD167" s="59"/>
      <c r="AE167" s="59"/>
      <c r="AF167" s="59"/>
      <c r="AG167" s="59"/>
      <c r="AH167" s="59"/>
      <c r="AI167" s="59"/>
    </row>
    <row r="168" spans="1:35" ht="12.5">
      <c r="A168" s="59"/>
      <c r="B168" s="59"/>
      <c r="C168" s="59"/>
      <c r="D168" s="59"/>
      <c r="E168" s="59"/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59"/>
      <c r="W168" s="59"/>
      <c r="X168" s="59"/>
      <c r="Y168" s="59"/>
      <c r="Z168" s="59"/>
      <c r="AA168" s="59"/>
      <c r="AB168" s="59"/>
      <c r="AC168" s="59"/>
      <c r="AD168" s="59"/>
      <c r="AE168" s="59"/>
      <c r="AF168" s="59"/>
      <c r="AG168" s="59"/>
      <c r="AH168" s="59"/>
      <c r="AI168" s="59"/>
    </row>
    <row r="169" spans="1:35" ht="12.5">
      <c r="A169" s="59"/>
      <c r="B169" s="59"/>
      <c r="C169" s="59"/>
      <c r="D169" s="59"/>
      <c r="E169" s="59"/>
      <c r="F169" s="59"/>
      <c r="G169" s="59"/>
      <c r="H169" s="59"/>
      <c r="I169" s="5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59"/>
      <c r="W169" s="59"/>
      <c r="X169" s="59"/>
      <c r="Y169" s="59"/>
      <c r="Z169" s="59"/>
      <c r="AA169" s="59"/>
      <c r="AB169" s="59"/>
      <c r="AC169" s="59"/>
      <c r="AD169" s="59"/>
      <c r="AE169" s="59"/>
      <c r="AF169" s="59"/>
      <c r="AG169" s="59"/>
      <c r="AH169" s="59"/>
      <c r="AI169" s="59"/>
    </row>
    <row r="170" spans="1:35" ht="12.5">
      <c r="A170" s="59"/>
      <c r="B170" s="59"/>
      <c r="C170" s="59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59"/>
      <c r="W170" s="59"/>
      <c r="X170" s="59"/>
      <c r="Y170" s="59"/>
      <c r="Z170" s="59"/>
      <c r="AA170" s="59"/>
      <c r="AB170" s="59"/>
      <c r="AC170" s="59"/>
      <c r="AD170" s="59"/>
      <c r="AE170" s="59"/>
      <c r="AF170" s="59"/>
      <c r="AG170" s="59"/>
      <c r="AH170" s="59"/>
      <c r="AI170" s="59"/>
    </row>
    <row r="171" spans="1:35" ht="12.5">
      <c r="A171" s="59"/>
      <c r="B171" s="59"/>
      <c r="C171" s="59"/>
      <c r="D171" s="59"/>
      <c r="E171" s="59"/>
      <c r="F171" s="59"/>
      <c r="G171" s="59"/>
      <c r="H171" s="59"/>
      <c r="I171" s="5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59"/>
      <c r="W171" s="59"/>
      <c r="X171" s="59"/>
      <c r="Y171" s="59"/>
      <c r="Z171" s="59"/>
      <c r="AA171" s="59"/>
      <c r="AB171" s="59"/>
      <c r="AC171" s="59"/>
      <c r="AD171" s="59"/>
      <c r="AE171" s="59"/>
      <c r="AF171" s="59"/>
      <c r="AG171" s="59"/>
      <c r="AH171" s="59"/>
      <c r="AI171" s="59"/>
    </row>
    <row r="172" spans="1:35" ht="12.5">
      <c r="A172" s="59"/>
      <c r="B172" s="59"/>
      <c r="C172" s="59"/>
      <c r="D172" s="59"/>
      <c r="E172" s="59"/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59"/>
      <c r="W172" s="59"/>
      <c r="X172" s="59"/>
      <c r="Y172" s="59"/>
      <c r="Z172" s="59"/>
      <c r="AA172" s="59"/>
      <c r="AB172" s="59"/>
      <c r="AC172" s="59"/>
      <c r="AD172" s="59"/>
      <c r="AE172" s="59"/>
      <c r="AF172" s="59"/>
      <c r="AG172" s="59"/>
      <c r="AH172" s="59"/>
      <c r="AI172" s="59"/>
    </row>
    <row r="173" spans="1:35" ht="12.5">
      <c r="A173" s="59"/>
      <c r="B173" s="59"/>
      <c r="C173" s="59"/>
      <c r="D173" s="59"/>
      <c r="E173" s="59"/>
      <c r="F173" s="59"/>
      <c r="G173" s="59"/>
      <c r="H173" s="59"/>
      <c r="I173" s="5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59"/>
      <c r="W173" s="59"/>
      <c r="X173" s="59"/>
      <c r="Y173" s="59"/>
      <c r="Z173" s="59"/>
      <c r="AA173" s="59"/>
      <c r="AB173" s="59"/>
      <c r="AC173" s="59"/>
      <c r="AD173" s="59"/>
      <c r="AE173" s="59"/>
      <c r="AF173" s="59"/>
      <c r="AG173" s="59"/>
      <c r="AH173" s="59"/>
      <c r="AI173" s="59"/>
    </row>
    <row r="174" spans="1:35" ht="12.5">
      <c r="A174" s="59"/>
      <c r="B174" s="59"/>
      <c r="C174" s="59"/>
      <c r="D174" s="59"/>
      <c r="E174" s="59"/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59"/>
      <c r="W174" s="59"/>
      <c r="X174" s="59"/>
      <c r="Y174" s="59"/>
      <c r="Z174" s="59"/>
      <c r="AA174" s="59"/>
      <c r="AB174" s="59"/>
      <c r="AC174" s="59"/>
      <c r="AD174" s="59"/>
      <c r="AE174" s="59"/>
      <c r="AF174" s="59"/>
      <c r="AG174" s="59"/>
      <c r="AH174" s="59"/>
      <c r="AI174" s="59"/>
    </row>
    <row r="175" spans="1:35" ht="12.5">
      <c r="A175" s="59"/>
      <c r="B175" s="59"/>
      <c r="C175" s="59"/>
      <c r="D175" s="59"/>
      <c r="E175" s="59"/>
      <c r="F175" s="59"/>
      <c r="G175" s="59"/>
      <c r="H175" s="59"/>
      <c r="I175" s="5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59"/>
      <c r="AA175" s="59"/>
      <c r="AB175" s="59"/>
      <c r="AC175" s="59"/>
      <c r="AD175" s="59"/>
      <c r="AE175" s="59"/>
      <c r="AF175" s="59"/>
      <c r="AG175" s="59"/>
      <c r="AH175" s="59"/>
      <c r="AI175" s="59"/>
    </row>
    <row r="176" spans="1:35" ht="12.5">
      <c r="A176" s="59"/>
      <c r="B176" s="59"/>
      <c r="C176" s="59"/>
      <c r="D176" s="59"/>
      <c r="E176" s="59"/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59"/>
      <c r="W176" s="59"/>
      <c r="X176" s="59"/>
      <c r="Y176" s="59"/>
      <c r="Z176" s="59"/>
      <c r="AA176" s="59"/>
      <c r="AB176" s="59"/>
      <c r="AC176" s="59"/>
      <c r="AD176" s="59"/>
      <c r="AE176" s="59"/>
      <c r="AF176" s="59"/>
      <c r="AG176" s="59"/>
      <c r="AH176" s="59"/>
      <c r="AI176" s="59"/>
    </row>
    <row r="177" spans="1:35" ht="12.5">
      <c r="A177" s="59"/>
      <c r="B177" s="59"/>
      <c r="C177" s="59"/>
      <c r="D177" s="59"/>
      <c r="E177" s="59"/>
      <c r="F177" s="59"/>
      <c r="G177" s="59"/>
      <c r="H177" s="59"/>
      <c r="I177" s="5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59"/>
      <c r="W177" s="59"/>
      <c r="X177" s="59"/>
      <c r="Y177" s="59"/>
      <c r="Z177" s="59"/>
      <c r="AA177" s="59"/>
      <c r="AB177" s="59"/>
      <c r="AC177" s="59"/>
      <c r="AD177" s="59"/>
      <c r="AE177" s="59"/>
      <c r="AF177" s="59"/>
      <c r="AG177" s="59"/>
      <c r="AH177" s="59"/>
      <c r="AI177" s="59"/>
    </row>
    <row r="178" spans="1:35" ht="12.5">
      <c r="A178" s="59"/>
      <c r="B178" s="59"/>
      <c r="C178" s="59"/>
      <c r="D178" s="59"/>
      <c r="E178" s="59"/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59"/>
      <c r="W178" s="59"/>
      <c r="X178" s="59"/>
      <c r="Y178" s="59"/>
      <c r="Z178" s="59"/>
      <c r="AA178" s="59"/>
      <c r="AB178" s="59"/>
      <c r="AC178" s="59"/>
      <c r="AD178" s="59"/>
      <c r="AE178" s="59"/>
      <c r="AF178" s="59"/>
      <c r="AG178" s="59"/>
      <c r="AH178" s="59"/>
      <c r="AI178" s="59"/>
    </row>
    <row r="179" spans="1:35" ht="12.5">
      <c r="A179" s="59"/>
      <c r="B179" s="59"/>
      <c r="C179" s="59"/>
      <c r="D179" s="59"/>
      <c r="E179" s="59"/>
      <c r="F179" s="59"/>
      <c r="G179" s="59"/>
      <c r="H179" s="59"/>
      <c r="I179" s="5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59"/>
      <c r="W179" s="59"/>
      <c r="X179" s="59"/>
      <c r="Y179" s="59"/>
      <c r="Z179" s="59"/>
      <c r="AA179" s="59"/>
      <c r="AB179" s="59"/>
      <c r="AC179" s="59"/>
      <c r="AD179" s="59"/>
      <c r="AE179" s="59"/>
      <c r="AF179" s="59"/>
      <c r="AG179" s="59"/>
      <c r="AH179" s="59"/>
      <c r="AI179" s="59"/>
    </row>
    <row r="180" spans="1:35" ht="12.5">
      <c r="A180" s="59"/>
      <c r="B180" s="59"/>
      <c r="C180" s="59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59"/>
      <c r="W180" s="59"/>
      <c r="X180" s="59"/>
      <c r="Y180" s="59"/>
      <c r="Z180" s="59"/>
      <c r="AA180" s="59"/>
      <c r="AB180" s="59"/>
      <c r="AC180" s="59"/>
      <c r="AD180" s="59"/>
      <c r="AE180" s="59"/>
      <c r="AF180" s="59"/>
      <c r="AG180" s="59"/>
      <c r="AH180" s="59"/>
      <c r="AI180" s="59"/>
    </row>
    <row r="181" spans="1:35" ht="12.5">
      <c r="A181" s="59"/>
      <c r="B181" s="59"/>
      <c r="C181" s="59"/>
      <c r="D181" s="59"/>
      <c r="E181" s="59"/>
      <c r="F181" s="59"/>
      <c r="G181" s="59"/>
      <c r="H181" s="59"/>
      <c r="I181" s="5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59"/>
      <c r="W181" s="59"/>
      <c r="X181" s="59"/>
      <c r="Y181" s="59"/>
      <c r="Z181" s="59"/>
      <c r="AA181" s="59"/>
      <c r="AB181" s="59"/>
      <c r="AC181" s="59"/>
      <c r="AD181" s="59"/>
      <c r="AE181" s="59"/>
      <c r="AF181" s="59"/>
      <c r="AG181" s="59"/>
      <c r="AH181" s="59"/>
      <c r="AI181" s="59"/>
    </row>
    <row r="182" spans="1:35" ht="12.5">
      <c r="A182" s="59"/>
      <c r="B182" s="59"/>
      <c r="C182" s="59"/>
      <c r="D182" s="59"/>
      <c r="E182" s="59"/>
      <c r="F182" s="59"/>
      <c r="G182" s="59"/>
      <c r="H182" s="59"/>
      <c r="I182" s="5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59"/>
      <c r="W182" s="59"/>
      <c r="X182" s="59"/>
      <c r="Y182" s="59"/>
      <c r="Z182" s="59"/>
      <c r="AA182" s="59"/>
      <c r="AB182" s="59"/>
      <c r="AC182" s="59"/>
      <c r="AD182" s="59"/>
      <c r="AE182" s="59"/>
      <c r="AF182" s="59"/>
      <c r="AG182" s="59"/>
      <c r="AH182" s="59"/>
      <c r="AI182" s="59"/>
    </row>
    <row r="183" spans="1:35" ht="12.5">
      <c r="A183" s="59"/>
      <c r="B183" s="59"/>
      <c r="C183" s="59"/>
      <c r="D183" s="59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59"/>
      <c r="W183" s="59"/>
      <c r="X183" s="59"/>
      <c r="Y183" s="59"/>
      <c r="Z183" s="59"/>
      <c r="AA183" s="59"/>
      <c r="AB183" s="59"/>
      <c r="AC183" s="59"/>
      <c r="AD183" s="59"/>
      <c r="AE183" s="59"/>
      <c r="AF183" s="59"/>
      <c r="AG183" s="59"/>
      <c r="AH183" s="59"/>
      <c r="AI183" s="59"/>
    </row>
    <row r="184" spans="1:35" ht="12.5">
      <c r="A184" s="59"/>
      <c r="B184" s="59"/>
      <c r="C184" s="59"/>
      <c r="D184" s="59"/>
      <c r="E184" s="59"/>
      <c r="F184" s="59"/>
      <c r="G184" s="59"/>
      <c r="H184" s="59"/>
      <c r="I184" s="5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59"/>
      <c r="W184" s="59"/>
      <c r="X184" s="59"/>
      <c r="Y184" s="59"/>
      <c r="Z184" s="59"/>
      <c r="AA184" s="59"/>
      <c r="AB184" s="59"/>
      <c r="AC184" s="59"/>
      <c r="AD184" s="59"/>
      <c r="AE184" s="59"/>
      <c r="AF184" s="59"/>
      <c r="AG184" s="59"/>
      <c r="AH184" s="59"/>
      <c r="AI184" s="59"/>
    </row>
    <row r="185" spans="1:35" ht="12.5">
      <c r="A185" s="59"/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Z185" s="59"/>
      <c r="AA185" s="59"/>
      <c r="AB185" s="59"/>
      <c r="AC185" s="59"/>
      <c r="AD185" s="59"/>
      <c r="AE185" s="59"/>
      <c r="AF185" s="59"/>
      <c r="AG185" s="59"/>
      <c r="AH185" s="59"/>
      <c r="AI185" s="59"/>
    </row>
    <row r="186" spans="1:35" ht="12.5">
      <c r="A186" s="59"/>
      <c r="B186" s="59"/>
      <c r="C186" s="59"/>
      <c r="D186" s="59"/>
      <c r="E186" s="59"/>
      <c r="F186" s="59"/>
      <c r="G186" s="59"/>
      <c r="H186" s="59"/>
      <c r="I186" s="5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59"/>
      <c r="W186" s="59"/>
      <c r="X186" s="59"/>
      <c r="Y186" s="59"/>
      <c r="Z186" s="59"/>
      <c r="AA186" s="59"/>
      <c r="AB186" s="59"/>
      <c r="AC186" s="59"/>
      <c r="AD186" s="59"/>
      <c r="AE186" s="59"/>
      <c r="AF186" s="59"/>
      <c r="AG186" s="59"/>
      <c r="AH186" s="59"/>
      <c r="AI186" s="59"/>
    </row>
    <row r="187" spans="1:35" ht="12.5">
      <c r="A187" s="59"/>
      <c r="B187" s="59"/>
      <c r="C187" s="59"/>
      <c r="D187" s="59"/>
      <c r="E187" s="59"/>
      <c r="F187" s="59"/>
      <c r="G187" s="59"/>
      <c r="H187" s="59"/>
      <c r="I187" s="5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59"/>
      <c r="W187" s="59"/>
      <c r="X187" s="59"/>
      <c r="Y187" s="59"/>
      <c r="Z187" s="59"/>
      <c r="AA187" s="59"/>
      <c r="AB187" s="59"/>
      <c r="AC187" s="59"/>
      <c r="AD187" s="59"/>
      <c r="AE187" s="59"/>
      <c r="AF187" s="59"/>
      <c r="AG187" s="59"/>
      <c r="AH187" s="59"/>
      <c r="AI187" s="59"/>
    </row>
    <row r="188" spans="1:35" ht="12.5">
      <c r="A188" s="59"/>
      <c r="B188" s="59"/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59"/>
      <c r="W188" s="59"/>
      <c r="X188" s="59"/>
      <c r="Y188" s="59"/>
      <c r="Z188" s="59"/>
      <c r="AA188" s="59"/>
      <c r="AB188" s="59"/>
      <c r="AC188" s="59"/>
      <c r="AD188" s="59"/>
      <c r="AE188" s="59"/>
      <c r="AF188" s="59"/>
      <c r="AG188" s="59"/>
      <c r="AH188" s="59"/>
      <c r="AI188" s="59"/>
    </row>
    <row r="189" spans="1:35" ht="12.5">
      <c r="A189" s="59"/>
      <c r="B189" s="59"/>
      <c r="C189" s="59"/>
      <c r="D189" s="59"/>
      <c r="E189" s="59"/>
      <c r="F189" s="59"/>
      <c r="G189" s="59"/>
      <c r="H189" s="59"/>
      <c r="I189" s="5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59"/>
      <c r="W189" s="59"/>
      <c r="X189" s="59"/>
      <c r="Y189" s="59"/>
      <c r="Z189" s="59"/>
      <c r="AA189" s="59"/>
      <c r="AB189" s="59"/>
      <c r="AC189" s="59"/>
      <c r="AD189" s="59"/>
      <c r="AE189" s="59"/>
      <c r="AF189" s="59"/>
      <c r="AG189" s="59"/>
      <c r="AH189" s="59"/>
      <c r="AI189" s="59"/>
    </row>
    <row r="190" spans="1:35" ht="12.5">
      <c r="A190" s="59"/>
      <c r="B190" s="59"/>
      <c r="C190" s="59"/>
      <c r="D190" s="59"/>
      <c r="E190" s="59"/>
      <c r="F190" s="59"/>
      <c r="G190" s="59"/>
      <c r="H190" s="59"/>
      <c r="I190" s="5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59"/>
      <c r="W190" s="59"/>
      <c r="X190" s="59"/>
      <c r="Y190" s="59"/>
      <c r="Z190" s="59"/>
      <c r="AA190" s="59"/>
      <c r="AB190" s="59"/>
      <c r="AC190" s="59"/>
      <c r="AD190" s="59"/>
      <c r="AE190" s="59"/>
      <c r="AF190" s="59"/>
      <c r="AG190" s="59"/>
      <c r="AH190" s="59"/>
      <c r="AI190" s="59"/>
    </row>
    <row r="191" spans="1:35" ht="12.5">
      <c r="A191" s="59"/>
      <c r="B191" s="59"/>
      <c r="C191" s="59"/>
      <c r="D191" s="59"/>
      <c r="E191" s="59"/>
      <c r="F191" s="59"/>
      <c r="G191" s="59"/>
      <c r="H191" s="59"/>
      <c r="I191" s="5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59"/>
      <c r="W191" s="59"/>
      <c r="X191" s="59"/>
      <c r="Y191" s="59"/>
      <c r="Z191" s="59"/>
      <c r="AA191" s="59"/>
      <c r="AB191" s="59"/>
      <c r="AC191" s="59"/>
      <c r="AD191" s="59"/>
      <c r="AE191" s="59"/>
      <c r="AF191" s="59"/>
      <c r="AG191" s="59"/>
      <c r="AH191" s="59"/>
      <c r="AI191" s="59"/>
    </row>
    <row r="192" spans="1:35" ht="12.5">
      <c r="A192" s="59"/>
      <c r="B192" s="59"/>
      <c r="C192" s="59"/>
      <c r="D192" s="59"/>
      <c r="E192" s="59"/>
      <c r="F192" s="59"/>
      <c r="G192" s="59"/>
      <c r="H192" s="59"/>
      <c r="I192" s="5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59"/>
      <c r="W192" s="59"/>
      <c r="X192" s="59"/>
      <c r="Y192" s="59"/>
      <c r="Z192" s="59"/>
      <c r="AA192" s="59"/>
      <c r="AB192" s="59"/>
      <c r="AC192" s="59"/>
      <c r="AD192" s="59"/>
      <c r="AE192" s="59"/>
      <c r="AF192" s="59"/>
      <c r="AG192" s="59"/>
      <c r="AH192" s="59"/>
      <c r="AI192" s="59"/>
    </row>
    <row r="193" spans="1:35" ht="12.5">
      <c r="A193" s="59"/>
      <c r="B193" s="59"/>
      <c r="C193" s="59"/>
      <c r="D193" s="59"/>
      <c r="E193" s="59"/>
      <c r="F193" s="59"/>
      <c r="G193" s="59"/>
      <c r="H193" s="59"/>
      <c r="I193" s="5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59"/>
      <c r="W193" s="59"/>
      <c r="X193" s="59"/>
      <c r="Y193" s="59"/>
      <c r="Z193" s="59"/>
      <c r="AA193" s="59"/>
      <c r="AB193" s="59"/>
      <c r="AC193" s="59"/>
      <c r="AD193" s="59"/>
      <c r="AE193" s="59"/>
      <c r="AF193" s="59"/>
      <c r="AG193" s="59"/>
      <c r="AH193" s="59"/>
      <c r="AI193" s="59"/>
    </row>
    <row r="194" spans="1:35" ht="12.5">
      <c r="A194" s="59"/>
      <c r="B194" s="59"/>
      <c r="C194" s="59"/>
      <c r="D194" s="59"/>
      <c r="E194" s="59"/>
      <c r="F194" s="59"/>
      <c r="G194" s="59"/>
      <c r="H194" s="59"/>
      <c r="I194" s="5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59"/>
      <c r="W194" s="59"/>
      <c r="X194" s="59"/>
      <c r="Y194" s="59"/>
      <c r="Z194" s="59"/>
      <c r="AA194" s="59"/>
      <c r="AB194" s="59"/>
      <c r="AC194" s="59"/>
      <c r="AD194" s="59"/>
      <c r="AE194" s="59"/>
      <c r="AF194" s="59"/>
      <c r="AG194" s="59"/>
      <c r="AH194" s="59"/>
      <c r="AI194" s="59"/>
    </row>
    <row r="195" spans="1:35" ht="12.5">
      <c r="A195" s="59"/>
      <c r="B195" s="59"/>
      <c r="C195" s="59"/>
      <c r="D195" s="59"/>
      <c r="E195" s="59"/>
      <c r="F195" s="59"/>
      <c r="G195" s="59"/>
      <c r="H195" s="59"/>
      <c r="I195" s="5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59"/>
      <c r="W195" s="59"/>
      <c r="X195" s="59"/>
      <c r="Y195" s="59"/>
      <c r="Z195" s="59"/>
      <c r="AA195" s="59"/>
      <c r="AB195" s="59"/>
      <c r="AC195" s="59"/>
      <c r="AD195" s="59"/>
      <c r="AE195" s="59"/>
      <c r="AF195" s="59"/>
      <c r="AG195" s="59"/>
      <c r="AH195" s="59"/>
      <c r="AI195" s="59"/>
    </row>
    <row r="196" spans="1:35" ht="12.5">
      <c r="A196" s="59"/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Z196" s="59"/>
      <c r="AA196" s="59"/>
      <c r="AB196" s="59"/>
      <c r="AC196" s="59"/>
      <c r="AD196" s="59"/>
      <c r="AE196" s="59"/>
      <c r="AF196" s="59"/>
      <c r="AG196" s="59"/>
      <c r="AH196" s="59"/>
      <c r="AI196" s="59"/>
    </row>
    <row r="197" spans="1:35" ht="12.5">
      <c r="A197" s="59"/>
      <c r="B197" s="59"/>
      <c r="C197" s="59"/>
      <c r="D197" s="59"/>
      <c r="E197" s="59"/>
      <c r="F197" s="59"/>
      <c r="G197" s="59"/>
      <c r="H197" s="59"/>
      <c r="I197" s="5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59"/>
      <c r="W197" s="59"/>
      <c r="X197" s="59"/>
      <c r="Y197" s="59"/>
      <c r="Z197" s="59"/>
      <c r="AA197" s="59"/>
      <c r="AB197" s="59"/>
      <c r="AC197" s="59"/>
      <c r="AD197" s="59"/>
      <c r="AE197" s="59"/>
      <c r="AF197" s="59"/>
      <c r="AG197" s="59"/>
      <c r="AH197" s="59"/>
      <c r="AI197" s="59"/>
    </row>
    <row r="198" spans="1:35" ht="12.5">
      <c r="A198" s="59"/>
      <c r="B198" s="59"/>
      <c r="C198" s="59"/>
      <c r="D198" s="59"/>
      <c r="E198" s="59"/>
      <c r="F198" s="59"/>
      <c r="G198" s="59"/>
      <c r="H198" s="59"/>
      <c r="I198" s="5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59"/>
      <c r="W198" s="59"/>
      <c r="X198" s="59"/>
      <c r="Y198" s="59"/>
      <c r="Z198" s="59"/>
      <c r="AA198" s="59"/>
      <c r="AB198" s="59"/>
      <c r="AC198" s="59"/>
      <c r="AD198" s="59"/>
      <c r="AE198" s="59"/>
      <c r="AF198" s="59"/>
      <c r="AG198" s="59"/>
      <c r="AH198" s="59"/>
      <c r="AI198" s="59"/>
    </row>
    <row r="199" spans="1:35" ht="12.5">
      <c r="A199" s="59"/>
      <c r="B199" s="59"/>
      <c r="C199" s="59"/>
      <c r="D199" s="59"/>
      <c r="E199" s="59"/>
      <c r="F199" s="59"/>
      <c r="G199" s="59"/>
      <c r="H199" s="59"/>
      <c r="I199" s="5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59"/>
      <c r="W199" s="59"/>
      <c r="X199" s="59"/>
      <c r="Y199" s="59"/>
      <c r="Z199" s="59"/>
      <c r="AA199" s="59"/>
      <c r="AB199" s="59"/>
      <c r="AC199" s="59"/>
      <c r="AD199" s="59"/>
      <c r="AE199" s="59"/>
      <c r="AF199" s="59"/>
      <c r="AG199" s="59"/>
      <c r="AH199" s="59"/>
      <c r="AI199" s="59"/>
    </row>
    <row r="200" spans="1:35" ht="12.5">
      <c r="A200" s="59"/>
      <c r="B200" s="59"/>
      <c r="C200" s="59"/>
      <c r="D200" s="59"/>
      <c r="E200" s="59"/>
      <c r="F200" s="59"/>
      <c r="G200" s="59"/>
      <c r="H200" s="59"/>
      <c r="I200" s="59"/>
      <c r="J200" s="59"/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59"/>
      <c r="V200" s="59"/>
      <c r="W200" s="59"/>
      <c r="X200" s="59"/>
      <c r="Y200" s="59"/>
      <c r="Z200" s="59"/>
      <c r="AA200" s="59"/>
      <c r="AB200" s="59"/>
      <c r="AC200" s="59"/>
      <c r="AD200" s="59"/>
      <c r="AE200" s="59"/>
      <c r="AF200" s="59"/>
      <c r="AG200" s="59"/>
      <c r="AH200" s="59"/>
      <c r="AI200" s="59"/>
    </row>
    <row r="201" spans="1:35" ht="12.5">
      <c r="A201" s="59"/>
      <c r="B201" s="59"/>
      <c r="C201" s="59"/>
      <c r="D201" s="59"/>
      <c r="E201" s="59"/>
      <c r="F201" s="59"/>
      <c r="G201" s="59"/>
      <c r="H201" s="59"/>
      <c r="I201" s="5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59"/>
      <c r="W201" s="59"/>
      <c r="X201" s="59"/>
      <c r="Y201" s="59"/>
      <c r="Z201" s="59"/>
      <c r="AA201" s="59"/>
      <c r="AB201" s="59"/>
      <c r="AC201" s="59"/>
      <c r="AD201" s="59"/>
      <c r="AE201" s="59"/>
      <c r="AF201" s="59"/>
      <c r="AG201" s="59"/>
      <c r="AH201" s="59"/>
      <c r="AI201" s="59"/>
    </row>
    <row r="202" spans="1:35" ht="12.5">
      <c r="A202" s="59"/>
      <c r="B202" s="59"/>
      <c r="C202" s="59"/>
      <c r="D202" s="59"/>
      <c r="E202" s="59"/>
      <c r="F202" s="59"/>
      <c r="G202" s="59"/>
      <c r="H202" s="59"/>
      <c r="I202" s="5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59"/>
      <c r="W202" s="59"/>
      <c r="X202" s="59"/>
      <c r="Y202" s="59"/>
      <c r="Z202" s="59"/>
      <c r="AA202" s="59"/>
      <c r="AB202" s="59"/>
      <c r="AC202" s="59"/>
      <c r="AD202" s="59"/>
      <c r="AE202" s="59"/>
      <c r="AF202" s="59"/>
      <c r="AG202" s="59"/>
      <c r="AH202" s="59"/>
      <c r="AI202" s="59"/>
    </row>
    <row r="203" spans="1:35" ht="12.5">
      <c r="A203" s="59"/>
      <c r="B203" s="59"/>
      <c r="C203" s="59"/>
      <c r="D203" s="59"/>
      <c r="E203" s="59"/>
      <c r="F203" s="59"/>
      <c r="G203" s="59"/>
      <c r="H203" s="59"/>
      <c r="I203" s="5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59"/>
      <c r="W203" s="59"/>
      <c r="X203" s="59"/>
      <c r="Y203" s="59"/>
      <c r="Z203" s="59"/>
      <c r="AA203" s="59"/>
      <c r="AB203" s="59"/>
      <c r="AC203" s="59"/>
      <c r="AD203" s="59"/>
      <c r="AE203" s="59"/>
      <c r="AF203" s="59"/>
      <c r="AG203" s="59"/>
      <c r="AH203" s="59"/>
      <c r="AI203" s="59"/>
    </row>
    <row r="204" spans="1:35" ht="12.5">
      <c r="A204" s="59"/>
      <c r="B204" s="59"/>
      <c r="C204" s="59"/>
      <c r="D204" s="59"/>
      <c r="E204" s="59"/>
      <c r="F204" s="59"/>
      <c r="G204" s="59"/>
      <c r="H204" s="59"/>
      <c r="I204" s="59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59"/>
      <c r="W204" s="59"/>
      <c r="X204" s="59"/>
      <c r="Y204" s="59"/>
      <c r="Z204" s="59"/>
      <c r="AA204" s="59"/>
      <c r="AB204" s="59"/>
      <c r="AC204" s="59"/>
      <c r="AD204" s="59"/>
      <c r="AE204" s="59"/>
      <c r="AF204" s="59"/>
      <c r="AG204" s="59"/>
      <c r="AH204" s="59"/>
      <c r="AI204" s="59"/>
    </row>
    <row r="205" spans="1:35" ht="12.5">
      <c r="A205" s="59"/>
      <c r="B205" s="59"/>
      <c r="C205" s="59"/>
      <c r="D205" s="59"/>
      <c r="E205" s="59"/>
      <c r="F205" s="59"/>
      <c r="G205" s="59"/>
      <c r="H205" s="59"/>
      <c r="I205" s="59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  <c r="V205" s="59"/>
      <c r="W205" s="59"/>
      <c r="X205" s="59"/>
      <c r="Y205" s="59"/>
      <c r="Z205" s="59"/>
      <c r="AA205" s="59"/>
      <c r="AB205" s="59"/>
      <c r="AC205" s="59"/>
      <c r="AD205" s="59"/>
      <c r="AE205" s="59"/>
      <c r="AF205" s="59"/>
      <c r="AG205" s="59"/>
      <c r="AH205" s="59"/>
      <c r="AI205" s="59"/>
    </row>
    <row r="206" spans="1:35" ht="12.5">
      <c r="A206" s="59"/>
      <c r="B206" s="59"/>
      <c r="C206" s="59"/>
      <c r="D206" s="59"/>
      <c r="E206" s="59"/>
      <c r="F206" s="59"/>
      <c r="G206" s="59"/>
      <c r="H206" s="59"/>
      <c r="I206" s="59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59"/>
      <c r="X206" s="59"/>
      <c r="Y206" s="59"/>
      <c r="Z206" s="59"/>
      <c r="AA206" s="59"/>
      <c r="AB206" s="59"/>
      <c r="AC206" s="59"/>
      <c r="AD206" s="59"/>
      <c r="AE206" s="59"/>
      <c r="AF206" s="59"/>
      <c r="AG206" s="59"/>
      <c r="AH206" s="59"/>
      <c r="AI206" s="59"/>
    </row>
    <row r="207" spans="1:35" ht="12.5">
      <c r="A207" s="59"/>
      <c r="B207" s="59"/>
      <c r="C207" s="59"/>
      <c r="D207" s="59"/>
      <c r="E207" s="59"/>
      <c r="F207" s="59"/>
      <c r="G207" s="59"/>
      <c r="H207" s="59"/>
      <c r="I207" s="59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59"/>
      <c r="W207" s="59"/>
      <c r="X207" s="59"/>
      <c r="Y207" s="59"/>
      <c r="Z207" s="59"/>
      <c r="AA207" s="59"/>
      <c r="AB207" s="59"/>
      <c r="AC207" s="59"/>
      <c r="AD207" s="59"/>
      <c r="AE207" s="59"/>
      <c r="AF207" s="59"/>
      <c r="AG207" s="59"/>
      <c r="AH207" s="59"/>
      <c r="AI207" s="59"/>
    </row>
    <row r="208" spans="1:35" ht="12.5">
      <c r="A208" s="59"/>
      <c r="B208" s="59"/>
      <c r="C208" s="59"/>
      <c r="D208" s="59"/>
      <c r="E208" s="59"/>
      <c r="F208" s="59"/>
      <c r="G208" s="59"/>
      <c r="H208" s="59"/>
      <c r="I208" s="59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59"/>
      <c r="V208" s="59"/>
      <c r="W208" s="59"/>
      <c r="X208" s="59"/>
      <c r="Y208" s="59"/>
      <c r="Z208" s="59"/>
      <c r="AA208" s="59"/>
      <c r="AB208" s="59"/>
      <c r="AC208" s="59"/>
      <c r="AD208" s="59"/>
      <c r="AE208" s="59"/>
      <c r="AF208" s="59"/>
      <c r="AG208" s="59"/>
      <c r="AH208" s="59"/>
      <c r="AI208" s="59"/>
    </row>
    <row r="209" spans="1:35" ht="12.5">
      <c r="A209" s="59"/>
      <c r="B209" s="59"/>
      <c r="C209" s="59"/>
      <c r="D209" s="59"/>
      <c r="E209" s="59"/>
      <c r="F209" s="59"/>
      <c r="G209" s="59"/>
      <c r="H209" s="59"/>
      <c r="I209" s="59"/>
      <c r="J209" s="59"/>
      <c r="K209" s="59"/>
      <c r="L209" s="59"/>
      <c r="M209" s="59"/>
      <c r="N209" s="59"/>
      <c r="O209" s="59"/>
      <c r="P209" s="59"/>
      <c r="Q209" s="59"/>
      <c r="R209" s="59"/>
      <c r="S209" s="59"/>
      <c r="T209" s="59"/>
      <c r="U209" s="59"/>
      <c r="V209" s="59"/>
      <c r="W209" s="59"/>
      <c r="X209" s="59"/>
      <c r="Y209" s="59"/>
      <c r="Z209" s="59"/>
      <c r="AA209" s="59"/>
      <c r="AB209" s="59"/>
      <c r="AC209" s="59"/>
      <c r="AD209" s="59"/>
      <c r="AE209" s="59"/>
      <c r="AF209" s="59"/>
      <c r="AG209" s="59"/>
      <c r="AH209" s="59"/>
      <c r="AI209" s="59"/>
    </row>
    <row r="210" spans="1:35" ht="12.5">
      <c r="A210" s="59"/>
      <c r="B210" s="59"/>
      <c r="C210" s="59"/>
      <c r="D210" s="59"/>
      <c r="E210" s="59"/>
      <c r="F210" s="59"/>
      <c r="G210" s="59"/>
      <c r="H210" s="59"/>
      <c r="I210" s="59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59"/>
      <c r="U210" s="59"/>
      <c r="V210" s="59"/>
      <c r="W210" s="59"/>
      <c r="X210" s="59"/>
      <c r="Y210" s="59"/>
      <c r="Z210" s="59"/>
      <c r="AA210" s="59"/>
      <c r="AB210" s="59"/>
      <c r="AC210" s="59"/>
      <c r="AD210" s="59"/>
      <c r="AE210" s="59"/>
      <c r="AF210" s="59"/>
      <c r="AG210" s="59"/>
      <c r="AH210" s="59"/>
      <c r="AI210" s="59"/>
    </row>
    <row r="211" spans="1:35" ht="12.5">
      <c r="A211" s="59"/>
      <c r="B211" s="59"/>
      <c r="C211" s="59"/>
      <c r="D211" s="59"/>
      <c r="E211" s="59"/>
      <c r="F211" s="59"/>
      <c r="G211" s="59"/>
      <c r="H211" s="59"/>
      <c r="I211" s="59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  <c r="V211" s="59"/>
      <c r="W211" s="59"/>
      <c r="X211" s="59"/>
      <c r="Y211" s="59"/>
      <c r="Z211" s="59"/>
      <c r="AA211" s="59"/>
      <c r="AB211" s="59"/>
      <c r="AC211" s="59"/>
      <c r="AD211" s="59"/>
      <c r="AE211" s="59"/>
      <c r="AF211" s="59"/>
      <c r="AG211" s="59"/>
      <c r="AH211" s="59"/>
      <c r="AI211" s="59"/>
    </row>
    <row r="212" spans="1:35" ht="12.5">
      <c r="A212" s="59"/>
      <c r="B212" s="59"/>
      <c r="C212" s="59"/>
      <c r="D212" s="59"/>
      <c r="E212" s="59"/>
      <c r="F212" s="59"/>
      <c r="G212" s="59"/>
      <c r="H212" s="59"/>
      <c r="I212" s="59"/>
      <c r="J212" s="59"/>
      <c r="K212" s="59"/>
      <c r="L212" s="59"/>
      <c r="M212" s="59"/>
      <c r="N212" s="59"/>
      <c r="O212" s="59"/>
      <c r="P212" s="59"/>
      <c r="Q212" s="59"/>
      <c r="R212" s="59"/>
      <c r="S212" s="59"/>
      <c r="T212" s="59"/>
      <c r="U212" s="59"/>
      <c r="V212" s="59"/>
      <c r="W212" s="59"/>
      <c r="X212" s="59"/>
      <c r="Y212" s="59"/>
      <c r="Z212" s="59"/>
      <c r="AA212" s="59"/>
      <c r="AB212" s="59"/>
      <c r="AC212" s="59"/>
      <c r="AD212" s="59"/>
      <c r="AE212" s="59"/>
      <c r="AF212" s="59"/>
      <c r="AG212" s="59"/>
      <c r="AH212" s="59"/>
      <c r="AI212" s="59"/>
    </row>
    <row r="213" spans="1:35" ht="12.5">
      <c r="A213" s="59"/>
      <c r="B213" s="59"/>
      <c r="C213" s="59"/>
      <c r="D213" s="59"/>
      <c r="E213" s="59"/>
      <c r="F213" s="59"/>
      <c r="G213" s="59"/>
      <c r="H213" s="59"/>
      <c r="I213" s="59"/>
      <c r="J213" s="59"/>
      <c r="K213" s="59"/>
      <c r="L213" s="59"/>
      <c r="M213" s="59"/>
      <c r="N213" s="59"/>
      <c r="O213" s="59"/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59"/>
      <c r="AA213" s="59"/>
      <c r="AB213" s="59"/>
      <c r="AC213" s="59"/>
      <c r="AD213" s="59"/>
      <c r="AE213" s="59"/>
      <c r="AF213" s="59"/>
      <c r="AG213" s="59"/>
      <c r="AH213" s="59"/>
      <c r="AI213" s="59"/>
    </row>
    <row r="214" spans="1:35" ht="12.5">
      <c r="A214" s="59"/>
      <c r="B214" s="59"/>
      <c r="C214" s="59"/>
      <c r="D214" s="59"/>
      <c r="E214" s="59"/>
      <c r="F214" s="59"/>
      <c r="G214" s="59"/>
      <c r="H214" s="59"/>
      <c r="I214" s="59"/>
      <c r="J214" s="59"/>
      <c r="K214" s="59"/>
      <c r="L214" s="59"/>
      <c r="M214" s="59"/>
      <c r="N214" s="59"/>
      <c r="O214" s="59"/>
      <c r="P214" s="59"/>
      <c r="Q214" s="59"/>
      <c r="R214" s="59"/>
      <c r="S214" s="59"/>
      <c r="T214" s="59"/>
      <c r="U214" s="59"/>
      <c r="V214" s="59"/>
      <c r="W214" s="59"/>
      <c r="X214" s="59"/>
      <c r="Y214" s="59"/>
      <c r="Z214" s="59"/>
      <c r="AA214" s="59"/>
      <c r="AB214" s="59"/>
      <c r="AC214" s="59"/>
      <c r="AD214" s="59"/>
      <c r="AE214" s="59"/>
      <c r="AF214" s="59"/>
      <c r="AG214" s="59"/>
      <c r="AH214" s="59"/>
      <c r="AI214" s="59"/>
    </row>
    <row r="215" spans="1:35" ht="12.5">
      <c r="A215" s="59"/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Z215" s="59"/>
      <c r="AA215" s="59"/>
      <c r="AB215" s="59"/>
      <c r="AC215" s="59"/>
      <c r="AD215" s="59"/>
      <c r="AE215" s="59"/>
      <c r="AF215" s="59"/>
      <c r="AG215" s="59"/>
      <c r="AH215" s="59"/>
      <c r="AI215" s="59"/>
    </row>
    <row r="216" spans="1:35" ht="12.5">
      <c r="A216" s="59"/>
      <c r="B216" s="59"/>
      <c r="C216" s="59"/>
      <c r="D216" s="59"/>
      <c r="E216" s="59"/>
      <c r="F216" s="59"/>
      <c r="G216" s="59"/>
      <c r="H216" s="59"/>
      <c r="I216" s="59"/>
      <c r="J216" s="59"/>
      <c r="K216" s="59"/>
      <c r="L216" s="59"/>
      <c r="M216" s="59"/>
      <c r="N216" s="59"/>
      <c r="O216" s="59"/>
      <c r="P216" s="59"/>
      <c r="Q216" s="59"/>
      <c r="R216" s="59"/>
      <c r="S216" s="59"/>
      <c r="T216" s="59"/>
      <c r="U216" s="59"/>
      <c r="V216" s="59"/>
      <c r="W216" s="59"/>
      <c r="X216" s="59"/>
      <c r="Y216" s="59"/>
      <c r="Z216" s="59"/>
      <c r="AA216" s="59"/>
      <c r="AB216" s="59"/>
      <c r="AC216" s="59"/>
      <c r="AD216" s="59"/>
      <c r="AE216" s="59"/>
      <c r="AF216" s="59"/>
      <c r="AG216" s="59"/>
      <c r="AH216" s="59"/>
      <c r="AI216" s="59"/>
    </row>
    <row r="217" spans="1:35" ht="12.5">
      <c r="A217" s="59"/>
      <c r="B217" s="59"/>
      <c r="C217" s="59"/>
      <c r="D217" s="59"/>
      <c r="E217" s="59"/>
      <c r="F217" s="59"/>
      <c r="G217" s="59"/>
      <c r="H217" s="59"/>
      <c r="I217" s="59"/>
      <c r="J217" s="59"/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59"/>
      <c r="V217" s="59"/>
      <c r="W217" s="59"/>
      <c r="X217" s="59"/>
      <c r="Y217" s="59"/>
      <c r="Z217" s="59"/>
      <c r="AA217" s="59"/>
      <c r="AB217" s="59"/>
      <c r="AC217" s="59"/>
      <c r="AD217" s="59"/>
      <c r="AE217" s="59"/>
      <c r="AF217" s="59"/>
      <c r="AG217" s="59"/>
      <c r="AH217" s="59"/>
      <c r="AI217" s="59"/>
    </row>
    <row r="218" spans="1:35" ht="12.5">
      <c r="A218" s="59"/>
      <c r="B218" s="59"/>
      <c r="C218" s="59"/>
      <c r="D218" s="59"/>
      <c r="E218" s="59"/>
      <c r="F218" s="59"/>
      <c r="G218" s="59"/>
      <c r="H218" s="59"/>
      <c r="I218" s="59"/>
      <c r="J218" s="59"/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  <c r="V218" s="59"/>
      <c r="W218" s="59"/>
      <c r="X218" s="59"/>
      <c r="Y218" s="59"/>
      <c r="Z218" s="59"/>
      <c r="AA218" s="59"/>
      <c r="AB218" s="59"/>
      <c r="AC218" s="59"/>
      <c r="AD218" s="59"/>
      <c r="AE218" s="59"/>
      <c r="AF218" s="59"/>
      <c r="AG218" s="59"/>
      <c r="AH218" s="59"/>
      <c r="AI218" s="59"/>
    </row>
    <row r="219" spans="1:35" ht="12.5">
      <c r="A219" s="59"/>
      <c r="B219" s="59"/>
      <c r="C219" s="59"/>
      <c r="D219" s="59"/>
      <c r="E219" s="59"/>
      <c r="F219" s="59"/>
      <c r="G219" s="59"/>
      <c r="H219" s="59"/>
      <c r="I219" s="59"/>
      <c r="J219" s="59"/>
      <c r="K219" s="59"/>
      <c r="L219" s="59"/>
      <c r="M219" s="59"/>
      <c r="N219" s="59"/>
      <c r="O219" s="59"/>
      <c r="P219" s="59"/>
      <c r="Q219" s="59"/>
      <c r="R219" s="59"/>
      <c r="S219" s="59"/>
      <c r="T219" s="59"/>
      <c r="U219" s="59"/>
      <c r="V219" s="59"/>
      <c r="W219" s="59"/>
      <c r="X219" s="59"/>
      <c r="Y219" s="59"/>
      <c r="Z219" s="59"/>
      <c r="AA219" s="59"/>
      <c r="AB219" s="59"/>
      <c r="AC219" s="59"/>
      <c r="AD219" s="59"/>
      <c r="AE219" s="59"/>
      <c r="AF219" s="59"/>
      <c r="AG219" s="59"/>
      <c r="AH219" s="59"/>
      <c r="AI219" s="59"/>
    </row>
    <row r="220" spans="1:35" ht="12.5">
      <c r="A220" s="59"/>
      <c r="B220" s="59"/>
      <c r="C220" s="59"/>
      <c r="D220" s="59"/>
      <c r="E220" s="59"/>
      <c r="F220" s="59"/>
      <c r="G220" s="59"/>
      <c r="H220" s="59"/>
      <c r="I220" s="59"/>
      <c r="J220" s="59"/>
      <c r="K220" s="59"/>
      <c r="L220" s="59"/>
      <c r="M220" s="59"/>
      <c r="N220" s="59"/>
      <c r="O220" s="59"/>
      <c r="P220" s="59"/>
      <c r="Q220" s="59"/>
      <c r="R220" s="59"/>
      <c r="S220" s="59"/>
      <c r="T220" s="59"/>
      <c r="U220" s="59"/>
      <c r="V220" s="59"/>
      <c r="W220" s="59"/>
      <c r="X220" s="59"/>
      <c r="Y220" s="59"/>
      <c r="Z220" s="59"/>
      <c r="AA220" s="59"/>
      <c r="AB220" s="59"/>
      <c r="AC220" s="59"/>
      <c r="AD220" s="59"/>
      <c r="AE220" s="59"/>
      <c r="AF220" s="59"/>
      <c r="AG220" s="59"/>
      <c r="AH220" s="59"/>
      <c r="AI220" s="59"/>
    </row>
    <row r="221" spans="1:35" ht="12.5">
      <c r="A221" s="59"/>
      <c r="B221" s="59"/>
      <c r="C221" s="59"/>
      <c r="D221" s="59"/>
      <c r="E221" s="59"/>
      <c r="F221" s="59"/>
      <c r="G221" s="59"/>
      <c r="H221" s="59"/>
      <c r="I221" s="59"/>
      <c r="J221" s="59"/>
      <c r="K221" s="59"/>
      <c r="L221" s="59"/>
      <c r="M221" s="59"/>
      <c r="N221" s="59"/>
      <c r="O221" s="59"/>
      <c r="P221" s="59"/>
      <c r="Q221" s="59"/>
      <c r="R221" s="59"/>
      <c r="S221" s="59"/>
      <c r="T221" s="59"/>
      <c r="U221" s="59"/>
      <c r="V221" s="59"/>
      <c r="W221" s="59"/>
      <c r="X221" s="59"/>
      <c r="Y221" s="59"/>
      <c r="Z221" s="59"/>
      <c r="AA221" s="59"/>
      <c r="AB221" s="59"/>
      <c r="AC221" s="59"/>
      <c r="AD221" s="59"/>
      <c r="AE221" s="59"/>
      <c r="AF221" s="59"/>
      <c r="AG221" s="59"/>
      <c r="AH221" s="59"/>
      <c r="AI221" s="59"/>
    </row>
    <row r="222" spans="1:35" ht="12.5">
      <c r="A222" s="59"/>
      <c r="B222" s="59"/>
      <c r="C222" s="59"/>
      <c r="D222" s="59"/>
      <c r="E222" s="59"/>
      <c r="F222" s="59"/>
      <c r="G222" s="59"/>
      <c r="H222" s="59"/>
      <c r="I222" s="59"/>
      <c r="J222" s="59"/>
      <c r="K222" s="59"/>
      <c r="L222" s="59"/>
      <c r="M222" s="59"/>
      <c r="N222" s="59"/>
      <c r="O222" s="59"/>
      <c r="P222" s="59"/>
      <c r="Q222" s="59"/>
      <c r="R222" s="59"/>
      <c r="S222" s="59"/>
      <c r="T222" s="59"/>
      <c r="U222" s="59"/>
      <c r="V222" s="59"/>
      <c r="W222" s="59"/>
      <c r="X222" s="59"/>
      <c r="Y222" s="59"/>
      <c r="Z222" s="59"/>
      <c r="AA222" s="59"/>
      <c r="AB222" s="59"/>
      <c r="AC222" s="59"/>
      <c r="AD222" s="59"/>
      <c r="AE222" s="59"/>
      <c r="AF222" s="59"/>
      <c r="AG222" s="59"/>
      <c r="AH222" s="59"/>
      <c r="AI222" s="59"/>
    </row>
    <row r="223" spans="1:35" ht="12.5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  <c r="AA223" s="59"/>
      <c r="AB223" s="59"/>
      <c r="AC223" s="59"/>
      <c r="AD223" s="59"/>
      <c r="AE223" s="59"/>
      <c r="AF223" s="59"/>
      <c r="AG223" s="59"/>
      <c r="AH223" s="59"/>
      <c r="AI223" s="59"/>
    </row>
    <row r="224" spans="1:35" ht="12.5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  <c r="AA224" s="59"/>
      <c r="AB224" s="59"/>
      <c r="AC224" s="59"/>
      <c r="AD224" s="59"/>
      <c r="AE224" s="59"/>
      <c r="AF224" s="59"/>
      <c r="AG224" s="59"/>
      <c r="AH224" s="59"/>
      <c r="AI224" s="59"/>
    </row>
    <row r="225" spans="1:35" ht="12.5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  <c r="AA225" s="59"/>
      <c r="AB225" s="59"/>
      <c r="AC225" s="59"/>
      <c r="AD225" s="59"/>
      <c r="AE225" s="59"/>
      <c r="AF225" s="59"/>
      <c r="AG225" s="59"/>
      <c r="AH225" s="59"/>
      <c r="AI225" s="59"/>
    </row>
    <row r="226" spans="1:35" ht="12.5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  <c r="AA226" s="59"/>
      <c r="AB226" s="59"/>
      <c r="AC226" s="59"/>
      <c r="AD226" s="59"/>
      <c r="AE226" s="59"/>
      <c r="AF226" s="59"/>
      <c r="AG226" s="59"/>
      <c r="AH226" s="59"/>
      <c r="AI226" s="59"/>
    </row>
    <row r="227" spans="1:35" ht="12.5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  <c r="AA227" s="59"/>
      <c r="AB227" s="59"/>
      <c r="AC227" s="59"/>
      <c r="AD227" s="59"/>
      <c r="AE227" s="59"/>
      <c r="AF227" s="59"/>
      <c r="AG227" s="59"/>
      <c r="AH227" s="59"/>
      <c r="AI227" s="59"/>
    </row>
    <row r="228" spans="1:35" ht="12.5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  <c r="AA228" s="59"/>
      <c r="AB228" s="59"/>
      <c r="AC228" s="59"/>
      <c r="AD228" s="59"/>
      <c r="AE228" s="59"/>
      <c r="AF228" s="59"/>
      <c r="AG228" s="59"/>
      <c r="AH228" s="59"/>
      <c r="AI228" s="59"/>
    </row>
    <row r="229" spans="1:35" ht="12.5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  <c r="AA229" s="59"/>
      <c r="AB229" s="59"/>
      <c r="AC229" s="59"/>
      <c r="AD229" s="59"/>
      <c r="AE229" s="59"/>
      <c r="AF229" s="59"/>
      <c r="AG229" s="59"/>
      <c r="AH229" s="59"/>
      <c r="AI229" s="59"/>
    </row>
    <row r="230" spans="1:35" ht="12.5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  <c r="AA230" s="59"/>
      <c r="AB230" s="59"/>
      <c r="AC230" s="59"/>
      <c r="AD230" s="59"/>
      <c r="AE230" s="59"/>
      <c r="AF230" s="59"/>
      <c r="AG230" s="59"/>
      <c r="AH230" s="59"/>
      <c r="AI230" s="59"/>
    </row>
    <row r="231" spans="1:35" ht="12.5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  <c r="AA231" s="59"/>
      <c r="AB231" s="59"/>
      <c r="AC231" s="59"/>
      <c r="AD231" s="59"/>
      <c r="AE231" s="59"/>
      <c r="AF231" s="59"/>
      <c r="AG231" s="59"/>
      <c r="AH231" s="59"/>
      <c r="AI231" s="59"/>
    </row>
    <row r="232" spans="1:35" ht="12.5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  <c r="AA232" s="59"/>
      <c r="AB232" s="59"/>
      <c r="AC232" s="59"/>
      <c r="AD232" s="59"/>
      <c r="AE232" s="59"/>
      <c r="AF232" s="59"/>
      <c r="AG232" s="59"/>
      <c r="AH232" s="59"/>
      <c r="AI232" s="59"/>
    </row>
    <row r="233" spans="1:35" ht="12.5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  <c r="AA233" s="59"/>
      <c r="AB233" s="59"/>
      <c r="AC233" s="59"/>
      <c r="AD233" s="59"/>
      <c r="AE233" s="59"/>
      <c r="AF233" s="59"/>
      <c r="AG233" s="59"/>
      <c r="AH233" s="59"/>
      <c r="AI233" s="59"/>
    </row>
    <row r="234" spans="1:35" ht="12.5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  <c r="AA234" s="59"/>
      <c r="AB234" s="59"/>
      <c r="AC234" s="59"/>
      <c r="AD234" s="59"/>
      <c r="AE234" s="59"/>
      <c r="AF234" s="59"/>
      <c r="AG234" s="59"/>
      <c r="AH234" s="59"/>
      <c r="AI234" s="59"/>
    </row>
    <row r="235" spans="1:35" ht="12.5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  <c r="AA235" s="59"/>
      <c r="AB235" s="59"/>
      <c r="AC235" s="59"/>
      <c r="AD235" s="59"/>
      <c r="AE235" s="59"/>
      <c r="AF235" s="59"/>
      <c r="AG235" s="59"/>
      <c r="AH235" s="59"/>
      <c r="AI235" s="59"/>
    </row>
    <row r="236" spans="1:35" ht="12.5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  <c r="AA236" s="59"/>
      <c r="AB236" s="59"/>
      <c r="AC236" s="59"/>
      <c r="AD236" s="59"/>
      <c r="AE236" s="59"/>
      <c r="AF236" s="59"/>
      <c r="AG236" s="59"/>
      <c r="AH236" s="59"/>
      <c r="AI236" s="59"/>
    </row>
    <row r="237" spans="1:35" ht="12.5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  <c r="AA237" s="59"/>
      <c r="AB237" s="59"/>
      <c r="AC237" s="59"/>
      <c r="AD237" s="59"/>
      <c r="AE237" s="59"/>
      <c r="AF237" s="59"/>
      <c r="AG237" s="59"/>
      <c r="AH237" s="59"/>
      <c r="AI237" s="59"/>
    </row>
    <row r="238" spans="1:35" ht="12.5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  <c r="AA238" s="59"/>
      <c r="AB238" s="59"/>
      <c r="AC238" s="59"/>
      <c r="AD238" s="59"/>
      <c r="AE238" s="59"/>
      <c r="AF238" s="59"/>
      <c r="AG238" s="59"/>
      <c r="AH238" s="59"/>
      <c r="AI238" s="59"/>
    </row>
    <row r="239" spans="1:35" ht="12.5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  <c r="AA239" s="59"/>
      <c r="AB239" s="59"/>
      <c r="AC239" s="59"/>
      <c r="AD239" s="59"/>
      <c r="AE239" s="59"/>
      <c r="AF239" s="59"/>
      <c r="AG239" s="59"/>
      <c r="AH239" s="59"/>
      <c r="AI239" s="59"/>
    </row>
    <row r="240" spans="1:35" ht="12.5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  <c r="AA240" s="59"/>
      <c r="AB240" s="59"/>
      <c r="AC240" s="59"/>
      <c r="AD240" s="59"/>
      <c r="AE240" s="59"/>
      <c r="AF240" s="59"/>
      <c r="AG240" s="59"/>
      <c r="AH240" s="59"/>
      <c r="AI240" s="59"/>
    </row>
    <row r="241" spans="1:35" ht="12.5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  <c r="AA241" s="59"/>
      <c r="AB241" s="59"/>
      <c r="AC241" s="59"/>
      <c r="AD241" s="59"/>
      <c r="AE241" s="59"/>
      <c r="AF241" s="59"/>
      <c r="AG241" s="59"/>
      <c r="AH241" s="59"/>
      <c r="AI241" s="59"/>
    </row>
    <row r="242" spans="1:35" ht="12.5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  <c r="AA242" s="59"/>
      <c r="AB242" s="59"/>
      <c r="AC242" s="59"/>
      <c r="AD242" s="59"/>
      <c r="AE242" s="59"/>
      <c r="AF242" s="59"/>
      <c r="AG242" s="59"/>
      <c r="AH242" s="59"/>
      <c r="AI242" s="59"/>
    </row>
    <row r="243" spans="1:35" ht="12.5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  <c r="AA243" s="59"/>
      <c r="AB243" s="59"/>
      <c r="AC243" s="59"/>
      <c r="AD243" s="59"/>
      <c r="AE243" s="59"/>
      <c r="AF243" s="59"/>
      <c r="AG243" s="59"/>
      <c r="AH243" s="59"/>
      <c r="AI243" s="59"/>
    </row>
    <row r="244" spans="1:35" ht="12.5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  <c r="AA244" s="59"/>
      <c r="AB244" s="59"/>
      <c r="AC244" s="59"/>
      <c r="AD244" s="59"/>
      <c r="AE244" s="59"/>
      <c r="AF244" s="59"/>
      <c r="AG244" s="59"/>
      <c r="AH244" s="59"/>
      <c r="AI244" s="59"/>
    </row>
    <row r="245" spans="1:35" ht="12.5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  <c r="AA245" s="59"/>
      <c r="AB245" s="59"/>
      <c r="AC245" s="59"/>
      <c r="AD245" s="59"/>
      <c r="AE245" s="59"/>
      <c r="AF245" s="59"/>
      <c r="AG245" s="59"/>
      <c r="AH245" s="59"/>
      <c r="AI245" s="59"/>
    </row>
    <row r="246" spans="1:35" ht="12.5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  <c r="AA246" s="59"/>
      <c r="AB246" s="59"/>
      <c r="AC246" s="59"/>
      <c r="AD246" s="59"/>
      <c r="AE246" s="59"/>
      <c r="AF246" s="59"/>
      <c r="AG246" s="59"/>
      <c r="AH246" s="59"/>
      <c r="AI246" s="59"/>
    </row>
    <row r="247" spans="1:35" ht="12.5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  <c r="AA247" s="59"/>
      <c r="AB247" s="59"/>
      <c r="AC247" s="59"/>
      <c r="AD247" s="59"/>
      <c r="AE247" s="59"/>
      <c r="AF247" s="59"/>
      <c r="AG247" s="59"/>
      <c r="AH247" s="59"/>
      <c r="AI247" s="59"/>
    </row>
    <row r="248" spans="1:35" ht="12.5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  <c r="AA248" s="59"/>
      <c r="AB248" s="59"/>
      <c r="AC248" s="59"/>
      <c r="AD248" s="59"/>
      <c r="AE248" s="59"/>
      <c r="AF248" s="59"/>
      <c r="AG248" s="59"/>
      <c r="AH248" s="59"/>
      <c r="AI248" s="59"/>
    </row>
    <row r="249" spans="1:35" ht="12.5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  <c r="AA249" s="59"/>
      <c r="AB249" s="59"/>
      <c r="AC249" s="59"/>
      <c r="AD249" s="59"/>
      <c r="AE249" s="59"/>
      <c r="AF249" s="59"/>
      <c r="AG249" s="59"/>
      <c r="AH249" s="59"/>
      <c r="AI249" s="59"/>
    </row>
    <row r="250" spans="1:35" ht="12.5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  <c r="AA250" s="59"/>
      <c r="AB250" s="59"/>
      <c r="AC250" s="59"/>
      <c r="AD250" s="59"/>
      <c r="AE250" s="59"/>
      <c r="AF250" s="59"/>
      <c r="AG250" s="59"/>
      <c r="AH250" s="59"/>
      <c r="AI250" s="59"/>
    </row>
    <row r="251" spans="1:35" ht="12.5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  <c r="AA251" s="59"/>
      <c r="AB251" s="59"/>
      <c r="AC251" s="59"/>
      <c r="AD251" s="59"/>
      <c r="AE251" s="59"/>
      <c r="AF251" s="59"/>
      <c r="AG251" s="59"/>
      <c r="AH251" s="59"/>
      <c r="AI251" s="59"/>
    </row>
    <row r="252" spans="1:35" ht="12.5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  <c r="AA252" s="59"/>
      <c r="AB252" s="59"/>
      <c r="AC252" s="59"/>
      <c r="AD252" s="59"/>
      <c r="AE252" s="59"/>
      <c r="AF252" s="59"/>
      <c r="AG252" s="59"/>
      <c r="AH252" s="59"/>
      <c r="AI252" s="59"/>
    </row>
    <row r="253" spans="1:35" ht="12.5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  <c r="AA253" s="59"/>
      <c r="AB253" s="59"/>
      <c r="AC253" s="59"/>
      <c r="AD253" s="59"/>
      <c r="AE253" s="59"/>
      <c r="AF253" s="59"/>
      <c r="AG253" s="59"/>
      <c r="AH253" s="59"/>
      <c r="AI253" s="59"/>
    </row>
    <row r="254" spans="1:35" ht="12.5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  <c r="AA254" s="59"/>
      <c r="AB254" s="59"/>
      <c r="AC254" s="59"/>
      <c r="AD254" s="59"/>
      <c r="AE254" s="59"/>
      <c r="AF254" s="59"/>
      <c r="AG254" s="59"/>
      <c r="AH254" s="59"/>
      <c r="AI254" s="59"/>
    </row>
    <row r="255" spans="1:35" ht="12.5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  <c r="AA255" s="59"/>
      <c r="AB255" s="59"/>
      <c r="AC255" s="59"/>
      <c r="AD255" s="59"/>
      <c r="AE255" s="59"/>
      <c r="AF255" s="59"/>
      <c r="AG255" s="59"/>
      <c r="AH255" s="59"/>
      <c r="AI255" s="59"/>
    </row>
    <row r="256" spans="1:35" ht="12.5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  <c r="AA256" s="59"/>
      <c r="AB256" s="59"/>
      <c r="AC256" s="59"/>
      <c r="AD256" s="59"/>
      <c r="AE256" s="59"/>
      <c r="AF256" s="59"/>
      <c r="AG256" s="59"/>
      <c r="AH256" s="59"/>
      <c r="AI256" s="59"/>
    </row>
    <row r="257" spans="1:35" ht="12.5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  <c r="AA257" s="59"/>
      <c r="AB257" s="59"/>
      <c r="AC257" s="59"/>
      <c r="AD257" s="59"/>
      <c r="AE257" s="59"/>
      <c r="AF257" s="59"/>
      <c r="AG257" s="59"/>
      <c r="AH257" s="59"/>
      <c r="AI257" s="59"/>
    </row>
    <row r="258" spans="1:35" ht="12.5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  <c r="AA258" s="59"/>
      <c r="AB258" s="59"/>
      <c r="AC258" s="59"/>
      <c r="AD258" s="59"/>
      <c r="AE258" s="59"/>
      <c r="AF258" s="59"/>
      <c r="AG258" s="59"/>
      <c r="AH258" s="59"/>
      <c r="AI258" s="59"/>
    </row>
    <row r="259" spans="1:35" ht="12.5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  <c r="AA259" s="59"/>
      <c r="AB259" s="59"/>
      <c r="AC259" s="59"/>
      <c r="AD259" s="59"/>
      <c r="AE259" s="59"/>
      <c r="AF259" s="59"/>
      <c r="AG259" s="59"/>
      <c r="AH259" s="59"/>
      <c r="AI259" s="59"/>
    </row>
    <row r="260" spans="1:35" ht="12.5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  <c r="AA260" s="59"/>
      <c r="AB260" s="59"/>
      <c r="AC260" s="59"/>
      <c r="AD260" s="59"/>
      <c r="AE260" s="59"/>
      <c r="AF260" s="59"/>
      <c r="AG260" s="59"/>
      <c r="AH260" s="59"/>
      <c r="AI260" s="59"/>
    </row>
    <row r="261" spans="1:35" ht="12.5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  <c r="AA261" s="59"/>
      <c r="AB261" s="59"/>
      <c r="AC261" s="59"/>
      <c r="AD261" s="59"/>
      <c r="AE261" s="59"/>
      <c r="AF261" s="59"/>
      <c r="AG261" s="59"/>
      <c r="AH261" s="59"/>
      <c r="AI261" s="59"/>
    </row>
    <row r="262" spans="1:35" ht="12.5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  <c r="AA262" s="59"/>
      <c r="AB262" s="59"/>
      <c r="AC262" s="59"/>
      <c r="AD262" s="59"/>
      <c r="AE262" s="59"/>
      <c r="AF262" s="59"/>
      <c r="AG262" s="59"/>
      <c r="AH262" s="59"/>
      <c r="AI262" s="59"/>
    </row>
    <row r="263" spans="1:35" ht="12.5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  <c r="AA263" s="59"/>
      <c r="AB263" s="59"/>
      <c r="AC263" s="59"/>
      <c r="AD263" s="59"/>
      <c r="AE263" s="59"/>
      <c r="AF263" s="59"/>
      <c r="AG263" s="59"/>
      <c r="AH263" s="59"/>
      <c r="AI263" s="59"/>
    </row>
    <row r="264" spans="1:35" ht="12.5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  <c r="AA264" s="59"/>
      <c r="AB264" s="59"/>
      <c r="AC264" s="59"/>
      <c r="AD264" s="59"/>
      <c r="AE264" s="59"/>
      <c r="AF264" s="59"/>
      <c r="AG264" s="59"/>
      <c r="AH264" s="59"/>
      <c r="AI264" s="59"/>
    </row>
    <row r="265" spans="1:35" ht="12.5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  <c r="AA265" s="59"/>
      <c r="AB265" s="59"/>
      <c r="AC265" s="59"/>
      <c r="AD265" s="59"/>
      <c r="AE265" s="59"/>
      <c r="AF265" s="59"/>
      <c r="AG265" s="59"/>
      <c r="AH265" s="59"/>
      <c r="AI265" s="59"/>
    </row>
    <row r="266" spans="1:35" ht="12.5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  <c r="AA266" s="59"/>
      <c r="AB266" s="59"/>
      <c r="AC266" s="59"/>
      <c r="AD266" s="59"/>
      <c r="AE266" s="59"/>
      <c r="AF266" s="59"/>
      <c r="AG266" s="59"/>
      <c r="AH266" s="59"/>
      <c r="AI266" s="59"/>
    </row>
    <row r="267" spans="1:35" ht="12.5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  <c r="AA267" s="59"/>
      <c r="AB267" s="59"/>
      <c r="AC267" s="59"/>
      <c r="AD267" s="59"/>
      <c r="AE267" s="59"/>
      <c r="AF267" s="59"/>
      <c r="AG267" s="59"/>
      <c r="AH267" s="59"/>
      <c r="AI267" s="59"/>
    </row>
    <row r="268" spans="1:35" ht="12.5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  <c r="AA268" s="59"/>
      <c r="AB268" s="59"/>
      <c r="AC268" s="59"/>
      <c r="AD268" s="59"/>
      <c r="AE268" s="59"/>
      <c r="AF268" s="59"/>
      <c r="AG268" s="59"/>
      <c r="AH268" s="59"/>
      <c r="AI268" s="59"/>
    </row>
    <row r="269" spans="1:35" ht="12.5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  <c r="AA269" s="59"/>
      <c r="AB269" s="59"/>
      <c r="AC269" s="59"/>
      <c r="AD269" s="59"/>
      <c r="AE269" s="59"/>
      <c r="AF269" s="59"/>
      <c r="AG269" s="59"/>
      <c r="AH269" s="59"/>
      <c r="AI269" s="59"/>
    </row>
    <row r="270" spans="1:35" ht="12.5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  <c r="AA270" s="59"/>
      <c r="AB270" s="59"/>
      <c r="AC270" s="59"/>
      <c r="AD270" s="59"/>
      <c r="AE270" s="59"/>
      <c r="AF270" s="59"/>
      <c r="AG270" s="59"/>
      <c r="AH270" s="59"/>
      <c r="AI270" s="59"/>
    </row>
    <row r="271" spans="1:35" ht="12.5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  <c r="AA271" s="59"/>
      <c r="AB271" s="59"/>
      <c r="AC271" s="59"/>
      <c r="AD271" s="59"/>
      <c r="AE271" s="59"/>
      <c r="AF271" s="59"/>
      <c r="AG271" s="59"/>
      <c r="AH271" s="59"/>
      <c r="AI271" s="59"/>
    </row>
    <row r="272" spans="1:35" ht="12.5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  <c r="AA272" s="59"/>
      <c r="AB272" s="59"/>
      <c r="AC272" s="59"/>
      <c r="AD272" s="59"/>
      <c r="AE272" s="59"/>
      <c r="AF272" s="59"/>
      <c r="AG272" s="59"/>
      <c r="AH272" s="59"/>
      <c r="AI272" s="59"/>
    </row>
    <row r="273" spans="1:35" ht="12.5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  <c r="AA273" s="59"/>
      <c r="AB273" s="59"/>
      <c r="AC273" s="59"/>
      <c r="AD273" s="59"/>
      <c r="AE273" s="59"/>
      <c r="AF273" s="59"/>
      <c r="AG273" s="59"/>
      <c r="AH273" s="59"/>
      <c r="AI273" s="59"/>
    </row>
    <row r="274" spans="1:35" ht="12.5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  <c r="AA274" s="59"/>
      <c r="AB274" s="59"/>
      <c r="AC274" s="59"/>
      <c r="AD274" s="59"/>
      <c r="AE274" s="59"/>
      <c r="AF274" s="59"/>
      <c r="AG274" s="59"/>
      <c r="AH274" s="59"/>
      <c r="AI274" s="59"/>
    </row>
    <row r="275" spans="1:35" ht="12.5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  <c r="AA275" s="59"/>
      <c r="AB275" s="59"/>
      <c r="AC275" s="59"/>
      <c r="AD275" s="59"/>
      <c r="AE275" s="59"/>
      <c r="AF275" s="59"/>
      <c r="AG275" s="59"/>
      <c r="AH275" s="59"/>
      <c r="AI275" s="59"/>
    </row>
    <row r="276" spans="1:35" ht="12.5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  <c r="AA276" s="59"/>
      <c r="AB276" s="59"/>
      <c r="AC276" s="59"/>
      <c r="AD276" s="59"/>
      <c r="AE276" s="59"/>
      <c r="AF276" s="59"/>
      <c r="AG276" s="59"/>
      <c r="AH276" s="59"/>
      <c r="AI276" s="59"/>
    </row>
    <row r="277" spans="1:35" ht="12.5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  <c r="AA277" s="59"/>
      <c r="AB277" s="59"/>
      <c r="AC277" s="59"/>
      <c r="AD277" s="59"/>
      <c r="AE277" s="59"/>
      <c r="AF277" s="59"/>
      <c r="AG277" s="59"/>
      <c r="AH277" s="59"/>
      <c r="AI277" s="59"/>
    </row>
    <row r="278" spans="1:35" ht="12.5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  <c r="AA278" s="59"/>
      <c r="AB278" s="59"/>
      <c r="AC278" s="59"/>
      <c r="AD278" s="59"/>
      <c r="AE278" s="59"/>
      <c r="AF278" s="59"/>
      <c r="AG278" s="59"/>
      <c r="AH278" s="59"/>
      <c r="AI278" s="59"/>
    </row>
    <row r="279" spans="1:35" ht="12.5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  <c r="AA279" s="59"/>
      <c r="AB279" s="59"/>
      <c r="AC279" s="59"/>
      <c r="AD279" s="59"/>
      <c r="AE279" s="59"/>
      <c r="AF279" s="59"/>
      <c r="AG279" s="59"/>
      <c r="AH279" s="59"/>
      <c r="AI279" s="59"/>
    </row>
    <row r="280" spans="1:35" ht="12.5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  <c r="AA280" s="59"/>
      <c r="AB280" s="59"/>
      <c r="AC280" s="59"/>
      <c r="AD280" s="59"/>
      <c r="AE280" s="59"/>
      <c r="AF280" s="59"/>
      <c r="AG280" s="59"/>
      <c r="AH280" s="59"/>
      <c r="AI280" s="59"/>
    </row>
    <row r="281" spans="1:35" ht="12.5">
      <c r="A281" s="59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  <c r="AA281" s="59"/>
      <c r="AB281" s="59"/>
      <c r="AC281" s="59"/>
      <c r="AD281" s="59"/>
      <c r="AE281" s="59"/>
      <c r="AF281" s="59"/>
      <c r="AG281" s="59"/>
      <c r="AH281" s="59"/>
      <c r="AI281" s="59"/>
    </row>
    <row r="282" spans="1:35" ht="12.5">
      <c r="A282" s="59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  <c r="AA282" s="59"/>
      <c r="AB282" s="59"/>
      <c r="AC282" s="59"/>
      <c r="AD282" s="59"/>
      <c r="AE282" s="59"/>
      <c r="AF282" s="59"/>
      <c r="AG282" s="59"/>
      <c r="AH282" s="59"/>
      <c r="AI282" s="59"/>
    </row>
    <row r="283" spans="1:35" ht="12.5">
      <c r="A283" s="59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  <c r="AA283" s="59"/>
      <c r="AB283" s="59"/>
      <c r="AC283" s="59"/>
      <c r="AD283" s="59"/>
      <c r="AE283" s="59"/>
      <c r="AF283" s="59"/>
      <c r="AG283" s="59"/>
      <c r="AH283" s="59"/>
      <c r="AI283" s="59"/>
    </row>
    <row r="284" spans="1:35" ht="12.5">
      <c r="A284" s="59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  <c r="AA284" s="59"/>
      <c r="AB284" s="59"/>
      <c r="AC284" s="59"/>
      <c r="AD284" s="59"/>
      <c r="AE284" s="59"/>
      <c r="AF284" s="59"/>
      <c r="AG284" s="59"/>
      <c r="AH284" s="59"/>
      <c r="AI284" s="59"/>
    </row>
    <row r="285" spans="1:35" ht="12.5">
      <c r="A285" s="59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  <c r="AA285" s="59"/>
      <c r="AB285" s="59"/>
      <c r="AC285" s="59"/>
      <c r="AD285" s="59"/>
      <c r="AE285" s="59"/>
      <c r="AF285" s="59"/>
      <c r="AG285" s="59"/>
      <c r="AH285" s="59"/>
      <c r="AI285" s="59"/>
    </row>
    <row r="286" spans="1:35" ht="12.5">
      <c r="A286" s="59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  <c r="AA286" s="59"/>
      <c r="AB286" s="59"/>
      <c r="AC286" s="59"/>
      <c r="AD286" s="59"/>
      <c r="AE286" s="59"/>
      <c r="AF286" s="59"/>
      <c r="AG286" s="59"/>
      <c r="AH286" s="59"/>
      <c r="AI286" s="59"/>
    </row>
    <row r="287" spans="1:35" ht="12.5">
      <c r="A287" s="59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  <c r="AA287" s="59"/>
      <c r="AB287" s="59"/>
      <c r="AC287" s="59"/>
      <c r="AD287" s="59"/>
      <c r="AE287" s="59"/>
      <c r="AF287" s="59"/>
      <c r="AG287" s="59"/>
      <c r="AH287" s="59"/>
      <c r="AI287" s="59"/>
    </row>
    <row r="288" spans="1:35" ht="12.5">
      <c r="A288" s="59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  <c r="AA288" s="59"/>
      <c r="AB288" s="59"/>
      <c r="AC288" s="59"/>
      <c r="AD288" s="59"/>
      <c r="AE288" s="59"/>
      <c r="AF288" s="59"/>
      <c r="AG288" s="59"/>
      <c r="AH288" s="59"/>
      <c r="AI288" s="59"/>
    </row>
    <row r="289" spans="1:35" ht="12.5">
      <c r="A289" s="59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  <c r="AA289" s="59"/>
      <c r="AB289" s="59"/>
      <c r="AC289" s="59"/>
      <c r="AD289" s="59"/>
      <c r="AE289" s="59"/>
      <c r="AF289" s="59"/>
      <c r="AG289" s="59"/>
      <c r="AH289" s="59"/>
      <c r="AI289" s="59"/>
    </row>
    <row r="290" spans="1:35" ht="12.5">
      <c r="A290" s="59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  <c r="AA290" s="59"/>
      <c r="AB290" s="59"/>
      <c r="AC290" s="59"/>
      <c r="AD290" s="59"/>
      <c r="AE290" s="59"/>
      <c r="AF290" s="59"/>
      <c r="AG290" s="59"/>
      <c r="AH290" s="59"/>
      <c r="AI290" s="59"/>
    </row>
    <row r="291" spans="1:35" ht="12.5">
      <c r="A291" s="59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  <c r="AA291" s="59"/>
      <c r="AB291" s="59"/>
      <c r="AC291" s="59"/>
      <c r="AD291" s="59"/>
      <c r="AE291" s="59"/>
      <c r="AF291" s="59"/>
      <c r="AG291" s="59"/>
      <c r="AH291" s="59"/>
      <c r="AI291" s="59"/>
    </row>
    <row r="292" spans="1:35" ht="12.5">
      <c r="A292" s="59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  <c r="AA292" s="59"/>
      <c r="AB292" s="59"/>
      <c r="AC292" s="59"/>
      <c r="AD292" s="59"/>
      <c r="AE292" s="59"/>
      <c r="AF292" s="59"/>
      <c r="AG292" s="59"/>
      <c r="AH292" s="59"/>
      <c r="AI292" s="59"/>
    </row>
    <row r="293" spans="1:35" ht="12.5">
      <c r="A293" s="59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  <c r="AA293" s="59"/>
      <c r="AB293" s="59"/>
      <c r="AC293" s="59"/>
      <c r="AD293" s="59"/>
      <c r="AE293" s="59"/>
      <c r="AF293" s="59"/>
      <c r="AG293" s="59"/>
      <c r="AH293" s="59"/>
      <c r="AI293" s="59"/>
    </row>
    <row r="294" spans="1:35" ht="12.5">
      <c r="A294" s="59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  <c r="AA294" s="59"/>
      <c r="AB294" s="59"/>
      <c r="AC294" s="59"/>
      <c r="AD294" s="59"/>
      <c r="AE294" s="59"/>
      <c r="AF294" s="59"/>
      <c r="AG294" s="59"/>
      <c r="AH294" s="59"/>
      <c r="AI294" s="59"/>
    </row>
    <row r="295" spans="1:35" ht="12.5">
      <c r="A295" s="59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  <c r="AA295" s="59"/>
      <c r="AB295" s="59"/>
      <c r="AC295" s="59"/>
      <c r="AD295" s="59"/>
      <c r="AE295" s="59"/>
      <c r="AF295" s="59"/>
      <c r="AG295" s="59"/>
      <c r="AH295" s="59"/>
      <c r="AI295" s="59"/>
    </row>
    <row r="296" spans="1:35" ht="12.5">
      <c r="A296" s="59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  <c r="AA296" s="59"/>
      <c r="AB296" s="59"/>
      <c r="AC296" s="59"/>
      <c r="AD296" s="59"/>
      <c r="AE296" s="59"/>
      <c r="AF296" s="59"/>
      <c r="AG296" s="59"/>
      <c r="AH296" s="59"/>
      <c r="AI296" s="59"/>
    </row>
    <row r="297" spans="1:35" ht="12.5">
      <c r="A297" s="59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  <c r="AA297" s="59"/>
      <c r="AB297" s="59"/>
      <c r="AC297" s="59"/>
      <c r="AD297" s="59"/>
      <c r="AE297" s="59"/>
      <c r="AF297" s="59"/>
      <c r="AG297" s="59"/>
      <c r="AH297" s="59"/>
      <c r="AI297" s="59"/>
    </row>
    <row r="298" spans="1:35" ht="12.5">
      <c r="A298" s="59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  <c r="AA298" s="59"/>
      <c r="AB298" s="59"/>
      <c r="AC298" s="59"/>
      <c r="AD298" s="59"/>
      <c r="AE298" s="59"/>
      <c r="AF298" s="59"/>
      <c r="AG298" s="59"/>
      <c r="AH298" s="59"/>
      <c r="AI298" s="59"/>
    </row>
    <row r="299" spans="1:35" ht="12.5">
      <c r="A299" s="59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  <c r="AA299" s="59"/>
      <c r="AB299" s="59"/>
      <c r="AC299" s="59"/>
      <c r="AD299" s="59"/>
      <c r="AE299" s="59"/>
      <c r="AF299" s="59"/>
      <c r="AG299" s="59"/>
      <c r="AH299" s="59"/>
      <c r="AI299" s="59"/>
    </row>
    <row r="300" spans="1:35" ht="12.5">
      <c r="A300" s="59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  <c r="AA300" s="59"/>
      <c r="AB300" s="59"/>
      <c r="AC300" s="59"/>
      <c r="AD300" s="59"/>
      <c r="AE300" s="59"/>
      <c r="AF300" s="59"/>
      <c r="AG300" s="59"/>
      <c r="AH300" s="59"/>
      <c r="AI300" s="59"/>
    </row>
    <row r="301" spans="1:35" ht="12.5">
      <c r="A301" s="59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  <c r="AA301" s="59"/>
      <c r="AB301" s="59"/>
      <c r="AC301" s="59"/>
      <c r="AD301" s="59"/>
      <c r="AE301" s="59"/>
      <c r="AF301" s="59"/>
      <c r="AG301" s="59"/>
      <c r="AH301" s="59"/>
      <c r="AI301" s="59"/>
    </row>
    <row r="302" spans="1:35" ht="12.5">
      <c r="A302" s="59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  <c r="AA302" s="59"/>
      <c r="AB302" s="59"/>
      <c r="AC302" s="59"/>
      <c r="AD302" s="59"/>
      <c r="AE302" s="59"/>
      <c r="AF302" s="59"/>
      <c r="AG302" s="59"/>
      <c r="AH302" s="59"/>
      <c r="AI302" s="59"/>
    </row>
    <row r="303" spans="1:35" ht="12.5">
      <c r="A303" s="59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  <c r="AA303" s="59"/>
      <c r="AB303" s="59"/>
      <c r="AC303" s="59"/>
      <c r="AD303" s="59"/>
      <c r="AE303" s="59"/>
      <c r="AF303" s="59"/>
      <c r="AG303" s="59"/>
      <c r="AH303" s="59"/>
      <c r="AI303" s="59"/>
    </row>
    <row r="304" spans="1:35" ht="12.5">
      <c r="A304" s="59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  <c r="AA304" s="59"/>
      <c r="AB304" s="59"/>
      <c r="AC304" s="59"/>
      <c r="AD304" s="59"/>
      <c r="AE304" s="59"/>
      <c r="AF304" s="59"/>
      <c r="AG304" s="59"/>
      <c r="AH304" s="59"/>
      <c r="AI304" s="59"/>
    </row>
    <row r="305" spans="1:35" ht="12.5">
      <c r="A305" s="59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  <c r="AA305" s="59"/>
      <c r="AB305" s="59"/>
      <c r="AC305" s="59"/>
      <c r="AD305" s="59"/>
      <c r="AE305" s="59"/>
      <c r="AF305" s="59"/>
      <c r="AG305" s="59"/>
      <c r="AH305" s="59"/>
      <c r="AI305" s="59"/>
    </row>
    <row r="306" spans="1:35" ht="12.5">
      <c r="A306" s="59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  <c r="AA306" s="59"/>
      <c r="AB306" s="59"/>
      <c r="AC306" s="59"/>
      <c r="AD306" s="59"/>
      <c r="AE306" s="59"/>
      <c r="AF306" s="59"/>
      <c r="AG306" s="59"/>
      <c r="AH306" s="59"/>
      <c r="AI306" s="59"/>
    </row>
    <row r="307" spans="1:35" ht="12.5">
      <c r="A307" s="59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  <c r="AA307" s="59"/>
      <c r="AB307" s="59"/>
      <c r="AC307" s="59"/>
      <c r="AD307" s="59"/>
      <c r="AE307" s="59"/>
      <c r="AF307" s="59"/>
      <c r="AG307" s="59"/>
      <c r="AH307" s="59"/>
      <c r="AI307" s="59"/>
    </row>
    <row r="308" spans="1:35" ht="12.5">
      <c r="A308" s="59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  <c r="AA308" s="59"/>
      <c r="AB308" s="59"/>
      <c r="AC308" s="59"/>
      <c r="AD308" s="59"/>
      <c r="AE308" s="59"/>
      <c r="AF308" s="59"/>
      <c r="AG308" s="59"/>
      <c r="AH308" s="59"/>
      <c r="AI308" s="59"/>
    </row>
    <row r="309" spans="1:35" ht="12.5">
      <c r="A309" s="59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  <c r="AA309" s="59"/>
      <c r="AB309" s="59"/>
      <c r="AC309" s="59"/>
      <c r="AD309" s="59"/>
      <c r="AE309" s="59"/>
      <c r="AF309" s="59"/>
      <c r="AG309" s="59"/>
      <c r="AH309" s="59"/>
      <c r="AI309" s="59"/>
    </row>
    <row r="310" spans="1:35" ht="12.5">
      <c r="A310" s="59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  <c r="AA310" s="59"/>
      <c r="AB310" s="59"/>
      <c r="AC310" s="59"/>
      <c r="AD310" s="59"/>
      <c r="AE310" s="59"/>
      <c r="AF310" s="59"/>
      <c r="AG310" s="59"/>
      <c r="AH310" s="59"/>
      <c r="AI310" s="59"/>
    </row>
    <row r="311" spans="1:35" ht="12.5">
      <c r="A311" s="59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  <c r="AA311" s="59"/>
      <c r="AB311" s="59"/>
      <c r="AC311" s="59"/>
      <c r="AD311" s="59"/>
      <c r="AE311" s="59"/>
      <c r="AF311" s="59"/>
      <c r="AG311" s="59"/>
      <c r="AH311" s="59"/>
      <c r="AI311" s="59"/>
    </row>
    <row r="312" spans="1:35" ht="12.5">
      <c r="A312" s="59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  <c r="AA312" s="59"/>
      <c r="AB312" s="59"/>
      <c r="AC312" s="59"/>
      <c r="AD312" s="59"/>
      <c r="AE312" s="59"/>
      <c r="AF312" s="59"/>
      <c r="AG312" s="59"/>
      <c r="AH312" s="59"/>
      <c r="AI312" s="59"/>
    </row>
    <row r="313" spans="1:35" ht="12.5">
      <c r="A313" s="59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  <c r="AA313" s="59"/>
      <c r="AB313" s="59"/>
      <c r="AC313" s="59"/>
      <c r="AD313" s="59"/>
      <c r="AE313" s="59"/>
      <c r="AF313" s="59"/>
      <c r="AG313" s="59"/>
      <c r="AH313" s="59"/>
      <c r="AI313" s="59"/>
    </row>
    <row r="314" spans="1:35" ht="12.5">
      <c r="A314" s="59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  <c r="AA314" s="59"/>
      <c r="AB314" s="59"/>
      <c r="AC314" s="59"/>
      <c r="AD314" s="59"/>
      <c r="AE314" s="59"/>
      <c r="AF314" s="59"/>
      <c r="AG314" s="59"/>
      <c r="AH314" s="59"/>
      <c r="AI314" s="59"/>
    </row>
    <row r="315" spans="1:35" ht="12.5">
      <c r="A315" s="59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  <c r="AA315" s="59"/>
      <c r="AB315" s="59"/>
      <c r="AC315" s="59"/>
      <c r="AD315" s="59"/>
      <c r="AE315" s="59"/>
      <c r="AF315" s="59"/>
      <c r="AG315" s="59"/>
      <c r="AH315" s="59"/>
      <c r="AI315" s="59"/>
    </row>
    <row r="316" spans="1:35" ht="12.5">
      <c r="A316" s="59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  <c r="AA316" s="59"/>
      <c r="AB316" s="59"/>
      <c r="AC316" s="59"/>
      <c r="AD316" s="59"/>
      <c r="AE316" s="59"/>
      <c r="AF316" s="59"/>
      <c r="AG316" s="59"/>
      <c r="AH316" s="59"/>
      <c r="AI316" s="59"/>
    </row>
    <row r="317" spans="1:35" ht="12.5">
      <c r="A317" s="59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  <c r="AA317" s="59"/>
      <c r="AB317" s="59"/>
      <c r="AC317" s="59"/>
      <c r="AD317" s="59"/>
      <c r="AE317" s="59"/>
      <c r="AF317" s="59"/>
      <c r="AG317" s="59"/>
      <c r="AH317" s="59"/>
      <c r="AI317" s="59"/>
    </row>
    <row r="318" spans="1:35" ht="12.5">
      <c r="A318" s="59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  <c r="AA318" s="59"/>
      <c r="AB318" s="59"/>
      <c r="AC318" s="59"/>
      <c r="AD318" s="59"/>
      <c r="AE318" s="59"/>
      <c r="AF318" s="59"/>
      <c r="AG318" s="59"/>
      <c r="AH318" s="59"/>
      <c r="AI318" s="59"/>
    </row>
    <row r="319" spans="1:35" ht="12.5">
      <c r="A319" s="59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  <c r="AA319" s="59"/>
      <c r="AB319" s="59"/>
      <c r="AC319" s="59"/>
      <c r="AD319" s="59"/>
      <c r="AE319" s="59"/>
      <c r="AF319" s="59"/>
      <c r="AG319" s="59"/>
      <c r="AH319" s="59"/>
      <c r="AI319" s="59"/>
    </row>
    <row r="320" spans="1:35" ht="12.5">
      <c r="A320" s="59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  <c r="AA320" s="59"/>
      <c r="AB320" s="59"/>
      <c r="AC320" s="59"/>
      <c r="AD320" s="59"/>
      <c r="AE320" s="59"/>
      <c r="AF320" s="59"/>
      <c r="AG320" s="59"/>
      <c r="AH320" s="59"/>
      <c r="AI320" s="59"/>
    </row>
    <row r="321" spans="1:35" ht="12.5">
      <c r="A321" s="59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  <c r="AA321" s="59"/>
      <c r="AB321" s="59"/>
      <c r="AC321" s="59"/>
      <c r="AD321" s="59"/>
      <c r="AE321" s="59"/>
      <c r="AF321" s="59"/>
      <c r="AG321" s="59"/>
      <c r="AH321" s="59"/>
      <c r="AI321" s="59"/>
    </row>
    <row r="322" spans="1:35" ht="12.5">
      <c r="A322" s="59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  <c r="AA322" s="59"/>
      <c r="AB322" s="59"/>
      <c r="AC322" s="59"/>
      <c r="AD322" s="59"/>
      <c r="AE322" s="59"/>
      <c r="AF322" s="59"/>
      <c r="AG322" s="59"/>
      <c r="AH322" s="59"/>
      <c r="AI322" s="59"/>
    </row>
    <row r="323" spans="1:35" ht="12.5">
      <c r="A323" s="59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  <c r="AA323" s="59"/>
      <c r="AB323" s="59"/>
      <c r="AC323" s="59"/>
      <c r="AD323" s="59"/>
      <c r="AE323" s="59"/>
      <c r="AF323" s="59"/>
      <c r="AG323" s="59"/>
      <c r="AH323" s="59"/>
      <c r="AI323" s="59"/>
    </row>
    <row r="324" spans="1:35" ht="12.5">
      <c r="A324" s="59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  <c r="AA324" s="59"/>
      <c r="AB324" s="59"/>
      <c r="AC324" s="59"/>
      <c r="AD324" s="59"/>
      <c r="AE324" s="59"/>
      <c r="AF324" s="59"/>
      <c r="AG324" s="59"/>
      <c r="AH324" s="59"/>
      <c r="AI324" s="59"/>
    </row>
    <row r="325" spans="1:35" ht="12.5">
      <c r="A325" s="59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  <c r="AA325" s="59"/>
      <c r="AB325" s="59"/>
      <c r="AC325" s="59"/>
      <c r="AD325" s="59"/>
      <c r="AE325" s="59"/>
      <c r="AF325" s="59"/>
      <c r="AG325" s="59"/>
      <c r="AH325" s="59"/>
      <c r="AI325" s="59"/>
    </row>
    <row r="326" spans="1:35" ht="12.5">
      <c r="A326" s="59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  <c r="AA326" s="59"/>
      <c r="AB326" s="59"/>
      <c r="AC326" s="59"/>
      <c r="AD326" s="59"/>
      <c r="AE326" s="59"/>
      <c r="AF326" s="59"/>
      <c r="AG326" s="59"/>
      <c r="AH326" s="59"/>
      <c r="AI326" s="59"/>
    </row>
    <row r="327" spans="1:35" ht="12.5">
      <c r="A327" s="59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  <c r="AA327" s="59"/>
      <c r="AB327" s="59"/>
      <c r="AC327" s="59"/>
      <c r="AD327" s="59"/>
      <c r="AE327" s="59"/>
      <c r="AF327" s="59"/>
      <c r="AG327" s="59"/>
      <c r="AH327" s="59"/>
      <c r="AI327" s="59"/>
    </row>
    <row r="328" spans="1:35" ht="12.5">
      <c r="A328" s="59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  <c r="AA328" s="59"/>
      <c r="AB328" s="59"/>
      <c r="AC328" s="59"/>
      <c r="AD328" s="59"/>
      <c r="AE328" s="59"/>
      <c r="AF328" s="59"/>
      <c r="AG328" s="59"/>
      <c r="AH328" s="59"/>
      <c r="AI328" s="59"/>
    </row>
    <row r="329" spans="1:35" ht="12.5">
      <c r="A329" s="59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  <c r="AA329" s="59"/>
      <c r="AB329" s="59"/>
      <c r="AC329" s="59"/>
      <c r="AD329" s="59"/>
      <c r="AE329" s="59"/>
      <c r="AF329" s="59"/>
      <c r="AG329" s="59"/>
      <c r="AH329" s="59"/>
      <c r="AI329" s="59"/>
    </row>
    <row r="330" spans="1:35" ht="12.5">
      <c r="A330" s="59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  <c r="AA330" s="59"/>
      <c r="AB330" s="59"/>
      <c r="AC330" s="59"/>
      <c r="AD330" s="59"/>
      <c r="AE330" s="59"/>
      <c r="AF330" s="59"/>
      <c r="AG330" s="59"/>
      <c r="AH330" s="59"/>
      <c r="AI330" s="59"/>
    </row>
    <row r="331" spans="1:35" ht="12.5">
      <c r="A331" s="59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  <c r="AA331" s="59"/>
      <c r="AB331" s="59"/>
      <c r="AC331" s="59"/>
      <c r="AD331" s="59"/>
      <c r="AE331" s="59"/>
      <c r="AF331" s="59"/>
      <c r="AG331" s="59"/>
      <c r="AH331" s="59"/>
      <c r="AI331" s="59"/>
    </row>
    <row r="332" spans="1:35" ht="12.5">
      <c r="A332" s="59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  <c r="AA332" s="59"/>
      <c r="AB332" s="59"/>
      <c r="AC332" s="59"/>
      <c r="AD332" s="59"/>
      <c r="AE332" s="59"/>
      <c r="AF332" s="59"/>
      <c r="AG332" s="59"/>
      <c r="AH332" s="59"/>
      <c r="AI332" s="59"/>
    </row>
    <row r="333" spans="1:35" ht="12.5">
      <c r="A333" s="59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  <c r="AA333" s="59"/>
      <c r="AB333" s="59"/>
      <c r="AC333" s="59"/>
      <c r="AD333" s="59"/>
      <c r="AE333" s="59"/>
      <c r="AF333" s="59"/>
      <c r="AG333" s="59"/>
      <c r="AH333" s="59"/>
      <c r="AI333" s="59"/>
    </row>
    <row r="334" spans="1:35" ht="12.5">
      <c r="A334" s="59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  <c r="AA334" s="59"/>
      <c r="AB334" s="59"/>
      <c r="AC334" s="59"/>
      <c r="AD334" s="59"/>
      <c r="AE334" s="59"/>
      <c r="AF334" s="59"/>
      <c r="AG334" s="59"/>
      <c r="AH334" s="59"/>
      <c r="AI334" s="59"/>
    </row>
    <row r="335" spans="1:35" ht="12.5">
      <c r="A335" s="59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  <c r="AA335" s="59"/>
      <c r="AB335" s="59"/>
      <c r="AC335" s="59"/>
      <c r="AD335" s="59"/>
      <c r="AE335" s="59"/>
      <c r="AF335" s="59"/>
      <c r="AG335" s="59"/>
      <c r="AH335" s="59"/>
      <c r="AI335" s="59"/>
    </row>
    <row r="336" spans="1:35" ht="12.5">
      <c r="A336" s="59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  <c r="AA336" s="59"/>
      <c r="AB336" s="59"/>
      <c r="AC336" s="59"/>
      <c r="AD336" s="59"/>
      <c r="AE336" s="59"/>
      <c r="AF336" s="59"/>
      <c r="AG336" s="59"/>
      <c r="AH336" s="59"/>
      <c r="AI336" s="59"/>
    </row>
    <row r="337" spans="1:35" ht="12.5">
      <c r="A337" s="59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  <c r="AA337" s="59"/>
      <c r="AB337" s="59"/>
      <c r="AC337" s="59"/>
      <c r="AD337" s="59"/>
      <c r="AE337" s="59"/>
      <c r="AF337" s="59"/>
      <c r="AG337" s="59"/>
      <c r="AH337" s="59"/>
      <c r="AI337" s="59"/>
    </row>
    <row r="338" spans="1:35" ht="12.5">
      <c r="A338" s="59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  <c r="AA338" s="59"/>
      <c r="AB338" s="59"/>
      <c r="AC338" s="59"/>
      <c r="AD338" s="59"/>
      <c r="AE338" s="59"/>
      <c r="AF338" s="59"/>
      <c r="AG338" s="59"/>
      <c r="AH338" s="59"/>
      <c r="AI338" s="59"/>
    </row>
    <row r="339" spans="1:35" ht="12.5">
      <c r="A339" s="59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  <c r="AA339" s="59"/>
      <c r="AB339" s="59"/>
      <c r="AC339" s="59"/>
      <c r="AD339" s="59"/>
      <c r="AE339" s="59"/>
      <c r="AF339" s="59"/>
      <c r="AG339" s="59"/>
      <c r="AH339" s="59"/>
      <c r="AI339" s="59"/>
    </row>
    <row r="340" spans="1:35" ht="12.5">
      <c r="A340" s="59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  <c r="AA340" s="59"/>
      <c r="AB340" s="59"/>
      <c r="AC340" s="59"/>
      <c r="AD340" s="59"/>
      <c r="AE340" s="59"/>
      <c r="AF340" s="59"/>
      <c r="AG340" s="59"/>
      <c r="AH340" s="59"/>
      <c r="AI340" s="59"/>
    </row>
    <row r="341" spans="1:35" ht="12.5">
      <c r="A341" s="59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  <c r="AA341" s="59"/>
      <c r="AB341" s="59"/>
      <c r="AC341" s="59"/>
      <c r="AD341" s="59"/>
      <c r="AE341" s="59"/>
      <c r="AF341" s="59"/>
      <c r="AG341" s="59"/>
      <c r="AH341" s="59"/>
      <c r="AI341" s="59"/>
    </row>
    <row r="342" spans="1:35" ht="12.5">
      <c r="A342" s="59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  <c r="AA342" s="59"/>
      <c r="AB342" s="59"/>
      <c r="AC342" s="59"/>
      <c r="AD342" s="59"/>
      <c r="AE342" s="59"/>
      <c r="AF342" s="59"/>
      <c r="AG342" s="59"/>
      <c r="AH342" s="59"/>
      <c r="AI342" s="59"/>
    </row>
    <row r="343" spans="1:35" ht="12.5">
      <c r="A343" s="59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  <c r="AA343" s="59"/>
      <c r="AB343" s="59"/>
      <c r="AC343" s="59"/>
      <c r="AD343" s="59"/>
      <c r="AE343" s="59"/>
      <c r="AF343" s="59"/>
      <c r="AG343" s="59"/>
      <c r="AH343" s="59"/>
      <c r="AI343" s="59"/>
    </row>
    <row r="344" spans="1:35" ht="12.5">
      <c r="A344" s="59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  <c r="AA344" s="59"/>
      <c r="AB344" s="59"/>
      <c r="AC344" s="59"/>
      <c r="AD344" s="59"/>
      <c r="AE344" s="59"/>
      <c r="AF344" s="59"/>
      <c r="AG344" s="59"/>
      <c r="AH344" s="59"/>
      <c r="AI344" s="59"/>
    </row>
    <row r="345" spans="1:35" ht="12.5">
      <c r="A345" s="59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  <c r="AA345" s="59"/>
      <c r="AB345" s="59"/>
      <c r="AC345" s="59"/>
      <c r="AD345" s="59"/>
      <c r="AE345" s="59"/>
      <c r="AF345" s="59"/>
      <c r="AG345" s="59"/>
      <c r="AH345" s="59"/>
      <c r="AI345" s="59"/>
    </row>
    <row r="346" spans="1:35" ht="12.5">
      <c r="A346" s="59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  <c r="AA346" s="59"/>
      <c r="AB346" s="59"/>
      <c r="AC346" s="59"/>
      <c r="AD346" s="59"/>
      <c r="AE346" s="59"/>
      <c r="AF346" s="59"/>
      <c r="AG346" s="59"/>
      <c r="AH346" s="59"/>
      <c r="AI346" s="59"/>
    </row>
    <row r="347" spans="1:35" ht="12.5">
      <c r="A347" s="59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  <c r="AA347" s="59"/>
      <c r="AB347" s="59"/>
      <c r="AC347" s="59"/>
      <c r="AD347" s="59"/>
      <c r="AE347" s="59"/>
      <c r="AF347" s="59"/>
      <c r="AG347" s="59"/>
      <c r="AH347" s="59"/>
      <c r="AI347" s="59"/>
    </row>
    <row r="348" spans="1:35" ht="12.5">
      <c r="A348" s="59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  <c r="AA348" s="59"/>
      <c r="AB348" s="59"/>
      <c r="AC348" s="59"/>
      <c r="AD348" s="59"/>
      <c r="AE348" s="59"/>
      <c r="AF348" s="59"/>
      <c r="AG348" s="59"/>
      <c r="AH348" s="59"/>
      <c r="AI348" s="59"/>
    </row>
    <row r="349" spans="1:35" ht="12.5">
      <c r="A349" s="59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  <c r="AA349" s="59"/>
      <c r="AB349" s="59"/>
      <c r="AC349" s="59"/>
      <c r="AD349" s="59"/>
      <c r="AE349" s="59"/>
      <c r="AF349" s="59"/>
      <c r="AG349" s="59"/>
      <c r="AH349" s="59"/>
      <c r="AI349" s="59"/>
    </row>
    <row r="350" spans="1:35" ht="12.5">
      <c r="A350" s="59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  <c r="AA350" s="59"/>
      <c r="AB350" s="59"/>
      <c r="AC350" s="59"/>
      <c r="AD350" s="59"/>
      <c r="AE350" s="59"/>
      <c r="AF350" s="59"/>
      <c r="AG350" s="59"/>
      <c r="AH350" s="59"/>
      <c r="AI350" s="59"/>
    </row>
    <row r="351" spans="1:35" ht="12.5">
      <c r="A351" s="59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  <c r="AA351" s="59"/>
      <c r="AB351" s="59"/>
      <c r="AC351" s="59"/>
      <c r="AD351" s="59"/>
      <c r="AE351" s="59"/>
      <c r="AF351" s="59"/>
      <c r="AG351" s="59"/>
      <c r="AH351" s="59"/>
      <c r="AI351" s="59"/>
    </row>
    <row r="352" spans="1:35" ht="12.5">
      <c r="A352" s="59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  <c r="AA352" s="59"/>
      <c r="AB352" s="59"/>
      <c r="AC352" s="59"/>
      <c r="AD352" s="59"/>
      <c r="AE352" s="59"/>
      <c r="AF352" s="59"/>
      <c r="AG352" s="59"/>
      <c r="AH352" s="59"/>
      <c r="AI352" s="59"/>
    </row>
    <row r="353" spans="1:35" ht="12.5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  <c r="AA353" s="59"/>
      <c r="AB353" s="59"/>
      <c r="AC353" s="59"/>
      <c r="AD353" s="59"/>
      <c r="AE353" s="59"/>
      <c r="AF353" s="59"/>
      <c r="AG353" s="59"/>
      <c r="AH353" s="59"/>
      <c r="AI353" s="59"/>
    </row>
    <row r="354" spans="1:35" ht="12.5">
      <c r="A354" s="59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  <c r="AA354" s="59"/>
      <c r="AB354" s="59"/>
      <c r="AC354" s="59"/>
      <c r="AD354" s="59"/>
      <c r="AE354" s="59"/>
      <c r="AF354" s="59"/>
      <c r="AG354" s="59"/>
      <c r="AH354" s="59"/>
      <c r="AI354" s="59"/>
    </row>
    <row r="355" spans="1:35" ht="12.5">
      <c r="A355" s="59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  <c r="AA355" s="59"/>
      <c r="AB355" s="59"/>
      <c r="AC355" s="59"/>
      <c r="AD355" s="59"/>
      <c r="AE355" s="59"/>
      <c r="AF355" s="59"/>
      <c r="AG355" s="59"/>
      <c r="AH355" s="59"/>
      <c r="AI355" s="59"/>
    </row>
    <row r="356" spans="1:35" ht="12.5">
      <c r="A356" s="59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  <c r="AA356" s="59"/>
      <c r="AB356" s="59"/>
      <c r="AC356" s="59"/>
      <c r="AD356" s="59"/>
      <c r="AE356" s="59"/>
      <c r="AF356" s="59"/>
      <c r="AG356" s="59"/>
      <c r="AH356" s="59"/>
      <c r="AI356" s="59"/>
    </row>
    <row r="357" spans="1:35" ht="12.5">
      <c r="A357" s="59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  <c r="AA357" s="59"/>
      <c r="AB357" s="59"/>
      <c r="AC357" s="59"/>
      <c r="AD357" s="59"/>
      <c r="AE357" s="59"/>
      <c r="AF357" s="59"/>
      <c r="AG357" s="59"/>
      <c r="AH357" s="59"/>
      <c r="AI357" s="59"/>
    </row>
    <row r="358" spans="1:35" ht="12.5">
      <c r="A358" s="59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  <c r="AA358" s="59"/>
      <c r="AB358" s="59"/>
      <c r="AC358" s="59"/>
      <c r="AD358" s="59"/>
      <c r="AE358" s="59"/>
      <c r="AF358" s="59"/>
      <c r="AG358" s="59"/>
      <c r="AH358" s="59"/>
      <c r="AI358" s="59"/>
    </row>
    <row r="359" spans="1:35" ht="12.5">
      <c r="A359" s="59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  <c r="AA359" s="59"/>
      <c r="AB359" s="59"/>
      <c r="AC359" s="59"/>
      <c r="AD359" s="59"/>
      <c r="AE359" s="59"/>
      <c r="AF359" s="59"/>
      <c r="AG359" s="59"/>
      <c r="AH359" s="59"/>
      <c r="AI359" s="59"/>
    </row>
    <row r="360" spans="1:35" ht="12.5">
      <c r="A360" s="59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  <c r="AA360" s="59"/>
      <c r="AB360" s="59"/>
      <c r="AC360" s="59"/>
      <c r="AD360" s="59"/>
      <c r="AE360" s="59"/>
      <c r="AF360" s="59"/>
      <c r="AG360" s="59"/>
      <c r="AH360" s="59"/>
      <c r="AI360" s="59"/>
    </row>
    <row r="361" spans="1:35" ht="12.5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  <c r="AA361" s="59"/>
      <c r="AB361" s="59"/>
      <c r="AC361" s="59"/>
      <c r="AD361" s="59"/>
      <c r="AE361" s="59"/>
      <c r="AF361" s="59"/>
      <c r="AG361" s="59"/>
      <c r="AH361" s="59"/>
      <c r="AI361" s="59"/>
    </row>
    <row r="362" spans="1:35" ht="12.5">
      <c r="A362" s="59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  <c r="AA362" s="59"/>
      <c r="AB362" s="59"/>
      <c r="AC362" s="59"/>
      <c r="AD362" s="59"/>
      <c r="AE362" s="59"/>
      <c r="AF362" s="59"/>
      <c r="AG362" s="59"/>
      <c r="AH362" s="59"/>
      <c r="AI362" s="59"/>
    </row>
    <row r="363" spans="1:35" ht="12.5">
      <c r="A363" s="59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  <c r="AA363" s="59"/>
      <c r="AB363" s="59"/>
      <c r="AC363" s="59"/>
      <c r="AD363" s="59"/>
      <c r="AE363" s="59"/>
      <c r="AF363" s="59"/>
      <c r="AG363" s="59"/>
      <c r="AH363" s="59"/>
      <c r="AI363" s="59"/>
    </row>
    <row r="364" spans="1:35" ht="12.5">
      <c r="A364" s="59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  <c r="AA364" s="59"/>
      <c r="AB364" s="59"/>
      <c r="AC364" s="59"/>
      <c r="AD364" s="59"/>
      <c r="AE364" s="59"/>
      <c r="AF364" s="59"/>
      <c r="AG364" s="59"/>
      <c r="AH364" s="59"/>
      <c r="AI364" s="59"/>
    </row>
    <row r="365" spans="1:35" ht="12.5">
      <c r="A365" s="59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  <c r="AA365" s="59"/>
      <c r="AB365" s="59"/>
      <c r="AC365" s="59"/>
      <c r="AD365" s="59"/>
      <c r="AE365" s="59"/>
      <c r="AF365" s="59"/>
      <c r="AG365" s="59"/>
      <c r="AH365" s="59"/>
      <c r="AI365" s="59"/>
    </row>
    <row r="366" spans="1:35" ht="12.5">
      <c r="A366" s="59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  <c r="AA366" s="59"/>
      <c r="AB366" s="59"/>
      <c r="AC366" s="59"/>
      <c r="AD366" s="59"/>
      <c r="AE366" s="59"/>
      <c r="AF366" s="59"/>
      <c r="AG366" s="59"/>
      <c r="AH366" s="59"/>
      <c r="AI366" s="59"/>
    </row>
    <row r="367" spans="1:35" ht="12.5">
      <c r="A367" s="59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  <c r="AA367" s="59"/>
      <c r="AB367" s="59"/>
      <c r="AC367" s="59"/>
      <c r="AD367" s="59"/>
      <c r="AE367" s="59"/>
      <c r="AF367" s="59"/>
      <c r="AG367" s="59"/>
      <c r="AH367" s="59"/>
      <c r="AI367" s="59"/>
    </row>
    <row r="368" spans="1:35" ht="12.5">
      <c r="A368" s="59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  <c r="AA368" s="59"/>
      <c r="AB368" s="59"/>
      <c r="AC368" s="59"/>
      <c r="AD368" s="59"/>
      <c r="AE368" s="59"/>
      <c r="AF368" s="59"/>
      <c r="AG368" s="59"/>
      <c r="AH368" s="59"/>
      <c r="AI368" s="59"/>
    </row>
    <row r="369" spans="1:35" ht="12.5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  <c r="AA369" s="59"/>
      <c r="AB369" s="59"/>
      <c r="AC369" s="59"/>
      <c r="AD369" s="59"/>
      <c r="AE369" s="59"/>
      <c r="AF369" s="59"/>
      <c r="AG369" s="59"/>
      <c r="AH369" s="59"/>
      <c r="AI369" s="59"/>
    </row>
    <row r="370" spans="1:35" ht="12.5">
      <c r="A370" s="59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  <c r="AA370" s="59"/>
      <c r="AB370" s="59"/>
      <c r="AC370" s="59"/>
      <c r="AD370" s="59"/>
      <c r="AE370" s="59"/>
      <c r="AF370" s="59"/>
      <c r="AG370" s="59"/>
      <c r="AH370" s="59"/>
      <c r="AI370" s="59"/>
    </row>
    <row r="371" spans="1:35" ht="12.5">
      <c r="A371" s="59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  <c r="AA371" s="59"/>
      <c r="AB371" s="59"/>
      <c r="AC371" s="59"/>
      <c r="AD371" s="59"/>
      <c r="AE371" s="59"/>
      <c r="AF371" s="59"/>
      <c r="AG371" s="59"/>
      <c r="AH371" s="59"/>
      <c r="AI371" s="59"/>
    </row>
    <row r="372" spans="1:35" ht="12.5">
      <c r="A372" s="59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  <c r="AA372" s="59"/>
      <c r="AB372" s="59"/>
      <c r="AC372" s="59"/>
      <c r="AD372" s="59"/>
      <c r="AE372" s="59"/>
      <c r="AF372" s="59"/>
      <c r="AG372" s="59"/>
      <c r="AH372" s="59"/>
      <c r="AI372" s="59"/>
    </row>
    <row r="373" spans="1:35" ht="12.5">
      <c r="A373" s="59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  <c r="AA373" s="59"/>
      <c r="AB373" s="59"/>
      <c r="AC373" s="59"/>
      <c r="AD373" s="59"/>
      <c r="AE373" s="59"/>
      <c r="AF373" s="59"/>
      <c r="AG373" s="59"/>
      <c r="AH373" s="59"/>
      <c r="AI373" s="59"/>
    </row>
    <row r="374" spans="1:35" ht="12.5">
      <c r="A374" s="59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  <c r="AA374" s="59"/>
      <c r="AB374" s="59"/>
      <c r="AC374" s="59"/>
      <c r="AD374" s="59"/>
      <c r="AE374" s="59"/>
      <c r="AF374" s="59"/>
      <c r="AG374" s="59"/>
      <c r="AH374" s="59"/>
      <c r="AI374" s="59"/>
    </row>
    <row r="375" spans="1:35" ht="12.5">
      <c r="A375" s="59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  <c r="AA375" s="59"/>
      <c r="AB375" s="59"/>
      <c r="AC375" s="59"/>
      <c r="AD375" s="59"/>
      <c r="AE375" s="59"/>
      <c r="AF375" s="59"/>
      <c r="AG375" s="59"/>
      <c r="AH375" s="59"/>
      <c r="AI375" s="59"/>
    </row>
    <row r="376" spans="1:35" ht="12.5">
      <c r="A376" s="59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  <c r="AA376" s="59"/>
      <c r="AB376" s="59"/>
      <c r="AC376" s="59"/>
      <c r="AD376" s="59"/>
      <c r="AE376" s="59"/>
      <c r="AF376" s="59"/>
      <c r="AG376" s="59"/>
      <c r="AH376" s="59"/>
      <c r="AI376" s="59"/>
    </row>
    <row r="377" spans="1:35" ht="12.5">
      <c r="A377" s="59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  <c r="AA377" s="59"/>
      <c r="AB377" s="59"/>
      <c r="AC377" s="59"/>
      <c r="AD377" s="59"/>
      <c r="AE377" s="59"/>
      <c r="AF377" s="59"/>
      <c r="AG377" s="59"/>
      <c r="AH377" s="59"/>
      <c r="AI377" s="59"/>
    </row>
    <row r="378" spans="1:35" ht="12.5">
      <c r="A378" s="59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  <c r="AA378" s="59"/>
      <c r="AB378" s="59"/>
      <c r="AC378" s="59"/>
      <c r="AD378" s="59"/>
      <c r="AE378" s="59"/>
      <c r="AF378" s="59"/>
      <c r="AG378" s="59"/>
      <c r="AH378" s="59"/>
      <c r="AI378" s="59"/>
    </row>
    <row r="379" spans="1:35" ht="12.5">
      <c r="A379" s="59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  <c r="AA379" s="59"/>
      <c r="AB379" s="59"/>
      <c r="AC379" s="59"/>
      <c r="AD379" s="59"/>
      <c r="AE379" s="59"/>
      <c r="AF379" s="59"/>
      <c r="AG379" s="59"/>
      <c r="AH379" s="59"/>
      <c r="AI379" s="59"/>
    </row>
    <row r="380" spans="1:35" ht="12.5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  <c r="AA380" s="59"/>
      <c r="AB380" s="59"/>
      <c r="AC380" s="59"/>
      <c r="AD380" s="59"/>
      <c r="AE380" s="59"/>
      <c r="AF380" s="59"/>
      <c r="AG380" s="59"/>
      <c r="AH380" s="59"/>
      <c r="AI380" s="59"/>
    </row>
    <row r="381" spans="1:35" ht="12.5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  <c r="AA381" s="59"/>
      <c r="AB381" s="59"/>
      <c r="AC381" s="59"/>
      <c r="AD381" s="59"/>
      <c r="AE381" s="59"/>
      <c r="AF381" s="59"/>
      <c r="AG381" s="59"/>
      <c r="AH381" s="59"/>
      <c r="AI381" s="59"/>
    </row>
    <row r="382" spans="1:35" ht="12.5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  <c r="AA382" s="59"/>
      <c r="AB382" s="59"/>
      <c r="AC382" s="59"/>
      <c r="AD382" s="59"/>
      <c r="AE382" s="59"/>
      <c r="AF382" s="59"/>
      <c r="AG382" s="59"/>
      <c r="AH382" s="59"/>
      <c r="AI382" s="59"/>
    </row>
    <row r="383" spans="1:35" ht="12.5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  <c r="AA383" s="59"/>
      <c r="AB383" s="59"/>
      <c r="AC383" s="59"/>
      <c r="AD383" s="59"/>
      <c r="AE383" s="59"/>
      <c r="AF383" s="59"/>
      <c r="AG383" s="59"/>
      <c r="AH383" s="59"/>
      <c r="AI383" s="59"/>
    </row>
    <row r="384" spans="1:35" ht="12.5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  <c r="AA384" s="59"/>
      <c r="AB384" s="59"/>
      <c r="AC384" s="59"/>
      <c r="AD384" s="59"/>
      <c r="AE384" s="59"/>
      <c r="AF384" s="59"/>
      <c r="AG384" s="59"/>
      <c r="AH384" s="59"/>
      <c r="AI384" s="59"/>
    </row>
    <row r="385" spans="1:35" ht="12.5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  <c r="AA385" s="59"/>
      <c r="AB385" s="59"/>
      <c r="AC385" s="59"/>
      <c r="AD385" s="59"/>
      <c r="AE385" s="59"/>
      <c r="AF385" s="59"/>
      <c r="AG385" s="59"/>
      <c r="AH385" s="59"/>
      <c r="AI385" s="59"/>
    </row>
    <row r="386" spans="1:35" ht="12.5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  <c r="AA386" s="59"/>
      <c r="AB386" s="59"/>
      <c r="AC386" s="59"/>
      <c r="AD386" s="59"/>
      <c r="AE386" s="59"/>
      <c r="AF386" s="59"/>
      <c r="AG386" s="59"/>
      <c r="AH386" s="59"/>
      <c r="AI386" s="59"/>
    </row>
    <row r="387" spans="1:35" ht="12.5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  <c r="AA387" s="59"/>
      <c r="AB387" s="59"/>
      <c r="AC387" s="59"/>
      <c r="AD387" s="59"/>
      <c r="AE387" s="59"/>
      <c r="AF387" s="59"/>
      <c r="AG387" s="59"/>
      <c r="AH387" s="59"/>
      <c r="AI387" s="59"/>
    </row>
    <row r="388" spans="1:35" ht="12.5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  <c r="AA388" s="59"/>
      <c r="AB388" s="59"/>
      <c r="AC388" s="59"/>
      <c r="AD388" s="59"/>
      <c r="AE388" s="59"/>
      <c r="AF388" s="59"/>
      <c r="AG388" s="59"/>
      <c r="AH388" s="59"/>
      <c r="AI388" s="59"/>
    </row>
    <row r="389" spans="1:35" ht="12.5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  <c r="AA389" s="59"/>
      <c r="AB389" s="59"/>
      <c r="AC389" s="59"/>
      <c r="AD389" s="59"/>
      <c r="AE389" s="59"/>
      <c r="AF389" s="59"/>
      <c r="AG389" s="59"/>
      <c r="AH389" s="59"/>
      <c r="AI389" s="59"/>
    </row>
    <row r="390" spans="1:35" ht="12.5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  <c r="AA390" s="59"/>
      <c r="AB390" s="59"/>
      <c r="AC390" s="59"/>
      <c r="AD390" s="59"/>
      <c r="AE390" s="59"/>
      <c r="AF390" s="59"/>
      <c r="AG390" s="59"/>
      <c r="AH390" s="59"/>
      <c r="AI390" s="59"/>
    </row>
    <row r="391" spans="1:35" ht="12.5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  <c r="AA391" s="59"/>
      <c r="AB391" s="59"/>
      <c r="AC391" s="59"/>
      <c r="AD391" s="59"/>
      <c r="AE391" s="59"/>
      <c r="AF391" s="59"/>
      <c r="AG391" s="59"/>
      <c r="AH391" s="59"/>
      <c r="AI391" s="59"/>
    </row>
    <row r="392" spans="1:35" ht="12.5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  <c r="AA392" s="59"/>
      <c r="AB392" s="59"/>
      <c r="AC392" s="59"/>
      <c r="AD392" s="59"/>
      <c r="AE392" s="59"/>
      <c r="AF392" s="59"/>
      <c r="AG392" s="59"/>
      <c r="AH392" s="59"/>
      <c r="AI392" s="59"/>
    </row>
    <row r="393" spans="1:35" ht="12.5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  <c r="AA393" s="59"/>
      <c r="AB393" s="59"/>
      <c r="AC393" s="59"/>
      <c r="AD393" s="59"/>
      <c r="AE393" s="59"/>
      <c r="AF393" s="59"/>
      <c r="AG393" s="59"/>
      <c r="AH393" s="59"/>
      <c r="AI393" s="59"/>
    </row>
    <row r="394" spans="1:35" ht="12.5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  <c r="AA394" s="59"/>
      <c r="AB394" s="59"/>
      <c r="AC394" s="59"/>
      <c r="AD394" s="59"/>
      <c r="AE394" s="59"/>
      <c r="AF394" s="59"/>
      <c r="AG394" s="59"/>
      <c r="AH394" s="59"/>
      <c r="AI394" s="59"/>
    </row>
    <row r="395" spans="1:35" ht="12.5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  <c r="AA395" s="59"/>
      <c r="AB395" s="59"/>
      <c r="AC395" s="59"/>
      <c r="AD395" s="59"/>
      <c r="AE395" s="59"/>
      <c r="AF395" s="59"/>
      <c r="AG395" s="59"/>
      <c r="AH395" s="59"/>
      <c r="AI395" s="59"/>
    </row>
    <row r="396" spans="1:35" ht="12.5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  <c r="AA396" s="59"/>
      <c r="AB396" s="59"/>
      <c r="AC396" s="59"/>
      <c r="AD396" s="59"/>
      <c r="AE396" s="59"/>
      <c r="AF396" s="59"/>
      <c r="AG396" s="59"/>
      <c r="AH396" s="59"/>
      <c r="AI396" s="59"/>
    </row>
    <row r="397" spans="1:35" ht="12.5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  <c r="AA397" s="59"/>
      <c r="AB397" s="59"/>
      <c r="AC397" s="59"/>
      <c r="AD397" s="59"/>
      <c r="AE397" s="59"/>
      <c r="AF397" s="59"/>
      <c r="AG397" s="59"/>
      <c r="AH397" s="59"/>
      <c r="AI397" s="59"/>
    </row>
    <row r="398" spans="1:35" ht="12.5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  <c r="AA398" s="59"/>
      <c r="AB398" s="59"/>
      <c r="AC398" s="59"/>
      <c r="AD398" s="59"/>
      <c r="AE398" s="59"/>
      <c r="AF398" s="59"/>
      <c r="AG398" s="59"/>
      <c r="AH398" s="59"/>
      <c r="AI398" s="59"/>
    </row>
    <row r="399" spans="1:35" ht="12.5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  <c r="AA399" s="59"/>
      <c r="AB399" s="59"/>
      <c r="AC399" s="59"/>
      <c r="AD399" s="59"/>
      <c r="AE399" s="59"/>
      <c r="AF399" s="59"/>
      <c r="AG399" s="59"/>
      <c r="AH399" s="59"/>
      <c r="AI399" s="59"/>
    </row>
    <row r="400" spans="1:35" ht="12.5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  <c r="AA400" s="59"/>
      <c r="AB400" s="59"/>
      <c r="AC400" s="59"/>
      <c r="AD400" s="59"/>
      <c r="AE400" s="59"/>
      <c r="AF400" s="59"/>
      <c r="AG400" s="59"/>
      <c r="AH400" s="59"/>
      <c r="AI400" s="59"/>
    </row>
    <row r="401" spans="1:35" ht="12.5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  <c r="AA401" s="59"/>
      <c r="AB401" s="59"/>
      <c r="AC401" s="59"/>
      <c r="AD401" s="59"/>
      <c r="AE401" s="59"/>
      <c r="AF401" s="59"/>
      <c r="AG401" s="59"/>
      <c r="AH401" s="59"/>
      <c r="AI401" s="59"/>
    </row>
    <row r="402" spans="1:35" ht="12.5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  <c r="AA402" s="59"/>
      <c r="AB402" s="59"/>
      <c r="AC402" s="59"/>
      <c r="AD402" s="59"/>
      <c r="AE402" s="59"/>
      <c r="AF402" s="59"/>
      <c r="AG402" s="59"/>
      <c r="AH402" s="59"/>
      <c r="AI402" s="59"/>
    </row>
    <row r="403" spans="1:35" ht="12.5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  <c r="AA403" s="59"/>
      <c r="AB403" s="59"/>
      <c r="AC403" s="59"/>
      <c r="AD403" s="59"/>
      <c r="AE403" s="59"/>
      <c r="AF403" s="59"/>
      <c r="AG403" s="59"/>
      <c r="AH403" s="59"/>
      <c r="AI403" s="59"/>
    </row>
    <row r="404" spans="1:35" ht="12.5">
      <c r="A404" s="59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  <c r="AA404" s="59"/>
      <c r="AB404" s="59"/>
      <c r="AC404" s="59"/>
      <c r="AD404" s="59"/>
      <c r="AE404" s="59"/>
      <c r="AF404" s="59"/>
      <c r="AG404" s="59"/>
      <c r="AH404" s="59"/>
      <c r="AI404" s="59"/>
    </row>
    <row r="405" spans="1:35" ht="12.5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  <c r="AA405" s="59"/>
      <c r="AB405" s="59"/>
      <c r="AC405" s="59"/>
      <c r="AD405" s="59"/>
      <c r="AE405" s="59"/>
      <c r="AF405" s="59"/>
      <c r="AG405" s="59"/>
      <c r="AH405" s="59"/>
      <c r="AI405" s="59"/>
    </row>
    <row r="406" spans="1:35" ht="12.5">
      <c r="A406" s="59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  <c r="AA406" s="59"/>
      <c r="AB406" s="59"/>
      <c r="AC406" s="59"/>
      <c r="AD406" s="59"/>
      <c r="AE406" s="59"/>
      <c r="AF406" s="59"/>
      <c r="AG406" s="59"/>
      <c r="AH406" s="59"/>
      <c r="AI406" s="59"/>
    </row>
    <row r="407" spans="1:35" ht="12.5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  <c r="AA407" s="59"/>
      <c r="AB407" s="59"/>
      <c r="AC407" s="59"/>
      <c r="AD407" s="59"/>
      <c r="AE407" s="59"/>
      <c r="AF407" s="59"/>
      <c r="AG407" s="59"/>
      <c r="AH407" s="59"/>
      <c r="AI407" s="59"/>
    </row>
    <row r="408" spans="1:35" ht="12.5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  <c r="AA408" s="59"/>
      <c r="AB408" s="59"/>
      <c r="AC408" s="59"/>
      <c r="AD408" s="59"/>
      <c r="AE408" s="59"/>
      <c r="AF408" s="59"/>
      <c r="AG408" s="59"/>
      <c r="AH408" s="59"/>
      <c r="AI408" s="59"/>
    </row>
    <row r="409" spans="1:35" ht="12.5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  <c r="AA409" s="59"/>
      <c r="AB409" s="59"/>
      <c r="AC409" s="59"/>
      <c r="AD409" s="59"/>
      <c r="AE409" s="59"/>
      <c r="AF409" s="59"/>
      <c r="AG409" s="59"/>
      <c r="AH409" s="59"/>
      <c r="AI409" s="59"/>
    </row>
    <row r="410" spans="1:35" ht="12.5">
      <c r="A410" s="59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  <c r="AA410" s="59"/>
      <c r="AB410" s="59"/>
      <c r="AC410" s="59"/>
      <c r="AD410" s="59"/>
      <c r="AE410" s="59"/>
      <c r="AF410" s="59"/>
      <c r="AG410" s="59"/>
      <c r="AH410" s="59"/>
      <c r="AI410" s="59"/>
    </row>
    <row r="411" spans="1:35" ht="12.5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  <c r="AA411" s="59"/>
      <c r="AB411" s="59"/>
      <c r="AC411" s="59"/>
      <c r="AD411" s="59"/>
      <c r="AE411" s="59"/>
      <c r="AF411" s="59"/>
      <c r="AG411" s="59"/>
      <c r="AH411" s="59"/>
      <c r="AI411" s="59"/>
    </row>
    <row r="412" spans="1:35" ht="12.5">
      <c r="A412" s="59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  <c r="AA412" s="59"/>
      <c r="AB412" s="59"/>
      <c r="AC412" s="59"/>
      <c r="AD412" s="59"/>
      <c r="AE412" s="59"/>
      <c r="AF412" s="59"/>
      <c r="AG412" s="59"/>
      <c r="AH412" s="59"/>
      <c r="AI412" s="59"/>
    </row>
    <row r="413" spans="1:35" ht="12.5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  <c r="AA413" s="59"/>
      <c r="AB413" s="59"/>
      <c r="AC413" s="59"/>
      <c r="AD413" s="59"/>
      <c r="AE413" s="59"/>
      <c r="AF413" s="59"/>
      <c r="AG413" s="59"/>
      <c r="AH413" s="59"/>
      <c r="AI413" s="59"/>
    </row>
    <row r="414" spans="1:35" ht="12.5">
      <c r="A414" s="59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  <c r="AA414" s="59"/>
      <c r="AB414" s="59"/>
      <c r="AC414" s="59"/>
      <c r="AD414" s="59"/>
      <c r="AE414" s="59"/>
      <c r="AF414" s="59"/>
      <c r="AG414" s="59"/>
      <c r="AH414" s="59"/>
      <c r="AI414" s="59"/>
    </row>
    <row r="415" spans="1:35" ht="12.5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  <c r="AA415" s="59"/>
      <c r="AB415" s="59"/>
      <c r="AC415" s="59"/>
      <c r="AD415" s="59"/>
      <c r="AE415" s="59"/>
      <c r="AF415" s="59"/>
      <c r="AG415" s="59"/>
      <c r="AH415" s="59"/>
      <c r="AI415" s="59"/>
    </row>
    <row r="416" spans="1:35" ht="12.5">
      <c r="A416" s="59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  <c r="AA416" s="59"/>
      <c r="AB416" s="59"/>
      <c r="AC416" s="59"/>
      <c r="AD416" s="59"/>
      <c r="AE416" s="59"/>
      <c r="AF416" s="59"/>
      <c r="AG416" s="59"/>
      <c r="AH416" s="59"/>
      <c r="AI416" s="59"/>
    </row>
    <row r="417" spans="1:35" ht="12.5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  <c r="AA417" s="59"/>
      <c r="AB417" s="59"/>
      <c r="AC417" s="59"/>
      <c r="AD417" s="59"/>
      <c r="AE417" s="59"/>
      <c r="AF417" s="59"/>
      <c r="AG417" s="59"/>
      <c r="AH417" s="59"/>
      <c r="AI417" s="59"/>
    </row>
    <row r="418" spans="1:35" ht="12.5">
      <c r="A418" s="59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  <c r="AA418" s="59"/>
      <c r="AB418" s="59"/>
      <c r="AC418" s="59"/>
      <c r="AD418" s="59"/>
      <c r="AE418" s="59"/>
      <c r="AF418" s="59"/>
      <c r="AG418" s="59"/>
      <c r="AH418" s="59"/>
      <c r="AI418" s="59"/>
    </row>
    <row r="419" spans="1:35" ht="12.5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  <c r="AA419" s="59"/>
      <c r="AB419" s="59"/>
      <c r="AC419" s="59"/>
      <c r="AD419" s="59"/>
      <c r="AE419" s="59"/>
      <c r="AF419" s="59"/>
      <c r="AG419" s="59"/>
      <c r="AH419" s="59"/>
      <c r="AI419" s="59"/>
    </row>
    <row r="420" spans="1:35" ht="12.5">
      <c r="A420" s="59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  <c r="AA420" s="59"/>
      <c r="AB420" s="59"/>
      <c r="AC420" s="59"/>
      <c r="AD420" s="59"/>
      <c r="AE420" s="59"/>
      <c r="AF420" s="59"/>
      <c r="AG420" s="59"/>
      <c r="AH420" s="59"/>
      <c r="AI420" s="59"/>
    </row>
    <row r="421" spans="1:35" ht="12.5">
      <c r="A421" s="59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  <c r="AA421" s="59"/>
      <c r="AB421" s="59"/>
      <c r="AC421" s="59"/>
      <c r="AD421" s="59"/>
      <c r="AE421" s="59"/>
      <c r="AF421" s="59"/>
      <c r="AG421" s="59"/>
      <c r="AH421" s="59"/>
      <c r="AI421" s="59"/>
    </row>
    <row r="422" spans="1:35" ht="12.5">
      <c r="A422" s="59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  <c r="AA422" s="59"/>
      <c r="AB422" s="59"/>
      <c r="AC422" s="59"/>
      <c r="AD422" s="59"/>
      <c r="AE422" s="59"/>
      <c r="AF422" s="59"/>
      <c r="AG422" s="59"/>
      <c r="AH422" s="59"/>
      <c r="AI422" s="59"/>
    </row>
    <row r="423" spans="1:35" ht="12.5">
      <c r="A423" s="59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  <c r="AA423" s="59"/>
      <c r="AB423" s="59"/>
      <c r="AC423" s="59"/>
      <c r="AD423" s="59"/>
      <c r="AE423" s="59"/>
      <c r="AF423" s="59"/>
      <c r="AG423" s="59"/>
      <c r="AH423" s="59"/>
      <c r="AI423" s="59"/>
    </row>
    <row r="424" spans="1:35" ht="12.5">
      <c r="A424" s="59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  <c r="AA424" s="59"/>
      <c r="AB424" s="59"/>
      <c r="AC424" s="59"/>
      <c r="AD424" s="59"/>
      <c r="AE424" s="59"/>
      <c r="AF424" s="59"/>
      <c r="AG424" s="59"/>
      <c r="AH424" s="59"/>
      <c r="AI424" s="59"/>
    </row>
    <row r="425" spans="1:35" ht="12.5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  <c r="AA425" s="59"/>
      <c r="AB425" s="59"/>
      <c r="AC425" s="59"/>
      <c r="AD425" s="59"/>
      <c r="AE425" s="59"/>
      <c r="AF425" s="59"/>
      <c r="AG425" s="59"/>
      <c r="AH425" s="59"/>
      <c r="AI425" s="59"/>
    </row>
    <row r="426" spans="1:35" ht="12.5">
      <c r="A426" s="59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  <c r="AA426" s="59"/>
      <c r="AB426" s="59"/>
      <c r="AC426" s="59"/>
      <c r="AD426" s="59"/>
      <c r="AE426" s="59"/>
      <c r="AF426" s="59"/>
      <c r="AG426" s="59"/>
      <c r="AH426" s="59"/>
      <c r="AI426" s="59"/>
    </row>
    <row r="427" spans="1:35" ht="12.5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  <c r="AA427" s="59"/>
      <c r="AB427" s="59"/>
      <c r="AC427" s="59"/>
      <c r="AD427" s="59"/>
      <c r="AE427" s="59"/>
      <c r="AF427" s="59"/>
      <c r="AG427" s="59"/>
      <c r="AH427" s="59"/>
      <c r="AI427" s="59"/>
    </row>
    <row r="428" spans="1:35" ht="12.5">
      <c r="A428" s="59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  <c r="AA428" s="59"/>
      <c r="AB428" s="59"/>
      <c r="AC428" s="59"/>
      <c r="AD428" s="59"/>
      <c r="AE428" s="59"/>
      <c r="AF428" s="59"/>
      <c r="AG428" s="59"/>
      <c r="AH428" s="59"/>
      <c r="AI428" s="59"/>
    </row>
    <row r="429" spans="1:35" ht="12.5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  <c r="AA429" s="59"/>
      <c r="AB429" s="59"/>
      <c r="AC429" s="59"/>
      <c r="AD429" s="59"/>
      <c r="AE429" s="59"/>
      <c r="AF429" s="59"/>
      <c r="AG429" s="59"/>
      <c r="AH429" s="59"/>
      <c r="AI429" s="59"/>
    </row>
    <row r="430" spans="1:35" ht="12.5">
      <c r="A430" s="59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  <c r="AA430" s="59"/>
      <c r="AB430" s="59"/>
      <c r="AC430" s="59"/>
      <c r="AD430" s="59"/>
      <c r="AE430" s="59"/>
      <c r="AF430" s="59"/>
      <c r="AG430" s="59"/>
      <c r="AH430" s="59"/>
      <c r="AI430" s="59"/>
    </row>
    <row r="431" spans="1:35" ht="12.5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  <c r="AA431" s="59"/>
      <c r="AB431" s="59"/>
      <c r="AC431" s="59"/>
      <c r="AD431" s="59"/>
      <c r="AE431" s="59"/>
      <c r="AF431" s="59"/>
      <c r="AG431" s="59"/>
      <c r="AH431" s="59"/>
      <c r="AI431" s="59"/>
    </row>
    <row r="432" spans="1:35" ht="12.5">
      <c r="A432" s="59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  <c r="AA432" s="59"/>
      <c r="AB432" s="59"/>
      <c r="AC432" s="59"/>
      <c r="AD432" s="59"/>
      <c r="AE432" s="59"/>
      <c r="AF432" s="59"/>
      <c r="AG432" s="59"/>
      <c r="AH432" s="59"/>
      <c r="AI432" s="59"/>
    </row>
    <row r="433" spans="1:35" ht="12.5">
      <c r="A433" s="59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  <c r="AA433" s="59"/>
      <c r="AB433" s="59"/>
      <c r="AC433" s="59"/>
      <c r="AD433" s="59"/>
      <c r="AE433" s="59"/>
      <c r="AF433" s="59"/>
      <c r="AG433" s="59"/>
      <c r="AH433" s="59"/>
      <c r="AI433" s="59"/>
    </row>
    <row r="434" spans="1:35" ht="12.5">
      <c r="A434" s="59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  <c r="AA434" s="59"/>
      <c r="AB434" s="59"/>
      <c r="AC434" s="59"/>
      <c r="AD434" s="59"/>
      <c r="AE434" s="59"/>
      <c r="AF434" s="59"/>
      <c r="AG434" s="59"/>
      <c r="AH434" s="59"/>
      <c r="AI434" s="59"/>
    </row>
    <row r="435" spans="1:35" ht="12.5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  <c r="AA435" s="59"/>
      <c r="AB435" s="59"/>
      <c r="AC435" s="59"/>
      <c r="AD435" s="59"/>
      <c r="AE435" s="59"/>
      <c r="AF435" s="59"/>
      <c r="AG435" s="59"/>
      <c r="AH435" s="59"/>
      <c r="AI435" s="59"/>
    </row>
    <row r="436" spans="1:35" ht="12.5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  <c r="AA436" s="59"/>
      <c r="AB436" s="59"/>
      <c r="AC436" s="59"/>
      <c r="AD436" s="59"/>
      <c r="AE436" s="59"/>
      <c r="AF436" s="59"/>
      <c r="AG436" s="59"/>
      <c r="AH436" s="59"/>
      <c r="AI436" s="59"/>
    </row>
    <row r="437" spans="1:35" ht="12.5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  <c r="AA437" s="59"/>
      <c r="AB437" s="59"/>
      <c r="AC437" s="59"/>
      <c r="AD437" s="59"/>
      <c r="AE437" s="59"/>
      <c r="AF437" s="59"/>
      <c r="AG437" s="59"/>
      <c r="AH437" s="59"/>
      <c r="AI437" s="59"/>
    </row>
    <row r="438" spans="1:35" ht="12.5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  <c r="AA438" s="59"/>
      <c r="AB438" s="59"/>
      <c r="AC438" s="59"/>
      <c r="AD438" s="59"/>
      <c r="AE438" s="59"/>
      <c r="AF438" s="59"/>
      <c r="AG438" s="59"/>
      <c r="AH438" s="59"/>
      <c r="AI438" s="59"/>
    </row>
    <row r="439" spans="1:35" ht="12.5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  <c r="AA439" s="59"/>
      <c r="AB439" s="59"/>
      <c r="AC439" s="59"/>
      <c r="AD439" s="59"/>
      <c r="AE439" s="59"/>
      <c r="AF439" s="59"/>
      <c r="AG439" s="59"/>
      <c r="AH439" s="59"/>
      <c r="AI439" s="59"/>
    </row>
    <row r="440" spans="1:35" ht="12.5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  <c r="AA440" s="59"/>
      <c r="AB440" s="59"/>
      <c r="AC440" s="59"/>
      <c r="AD440" s="59"/>
      <c r="AE440" s="59"/>
      <c r="AF440" s="59"/>
      <c r="AG440" s="59"/>
      <c r="AH440" s="59"/>
      <c r="AI440" s="59"/>
    </row>
    <row r="441" spans="1:35" ht="12.5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  <c r="AA441" s="59"/>
      <c r="AB441" s="59"/>
      <c r="AC441" s="59"/>
      <c r="AD441" s="59"/>
      <c r="AE441" s="59"/>
      <c r="AF441" s="59"/>
      <c r="AG441" s="59"/>
      <c r="AH441" s="59"/>
      <c r="AI441" s="59"/>
    </row>
    <row r="442" spans="1:35" ht="12.5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  <c r="AA442" s="59"/>
      <c r="AB442" s="59"/>
      <c r="AC442" s="59"/>
      <c r="AD442" s="59"/>
      <c r="AE442" s="59"/>
      <c r="AF442" s="59"/>
      <c r="AG442" s="59"/>
      <c r="AH442" s="59"/>
      <c r="AI442" s="59"/>
    </row>
    <row r="443" spans="1:35" ht="12.5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  <c r="AA443" s="59"/>
      <c r="AB443" s="59"/>
      <c r="AC443" s="59"/>
      <c r="AD443" s="59"/>
      <c r="AE443" s="59"/>
      <c r="AF443" s="59"/>
      <c r="AG443" s="59"/>
      <c r="AH443" s="59"/>
      <c r="AI443" s="59"/>
    </row>
    <row r="444" spans="1:35" ht="12.5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  <c r="AA444" s="59"/>
      <c r="AB444" s="59"/>
      <c r="AC444" s="59"/>
      <c r="AD444" s="59"/>
      <c r="AE444" s="59"/>
      <c r="AF444" s="59"/>
      <c r="AG444" s="59"/>
      <c r="AH444" s="59"/>
      <c r="AI444" s="59"/>
    </row>
    <row r="445" spans="1:35" ht="12.5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  <c r="AA445" s="59"/>
      <c r="AB445" s="59"/>
      <c r="AC445" s="59"/>
      <c r="AD445" s="59"/>
      <c r="AE445" s="59"/>
      <c r="AF445" s="59"/>
      <c r="AG445" s="59"/>
      <c r="AH445" s="59"/>
      <c r="AI445" s="59"/>
    </row>
    <row r="446" spans="1:35" ht="12.5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  <c r="AA446" s="59"/>
      <c r="AB446" s="59"/>
      <c r="AC446" s="59"/>
      <c r="AD446" s="59"/>
      <c r="AE446" s="59"/>
      <c r="AF446" s="59"/>
      <c r="AG446" s="59"/>
      <c r="AH446" s="59"/>
      <c r="AI446" s="59"/>
    </row>
    <row r="447" spans="1:35" ht="12.5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  <c r="AA447" s="59"/>
      <c r="AB447" s="59"/>
      <c r="AC447" s="59"/>
      <c r="AD447" s="59"/>
      <c r="AE447" s="59"/>
      <c r="AF447" s="59"/>
      <c r="AG447" s="59"/>
      <c r="AH447" s="59"/>
      <c r="AI447" s="59"/>
    </row>
    <row r="448" spans="1:35" ht="12.5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  <c r="AA448" s="59"/>
      <c r="AB448" s="59"/>
      <c r="AC448" s="59"/>
      <c r="AD448" s="59"/>
      <c r="AE448" s="59"/>
      <c r="AF448" s="59"/>
      <c r="AG448" s="59"/>
      <c r="AH448" s="59"/>
      <c r="AI448" s="59"/>
    </row>
    <row r="449" spans="1:35" ht="12.5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  <c r="AA449" s="59"/>
      <c r="AB449" s="59"/>
      <c r="AC449" s="59"/>
      <c r="AD449" s="59"/>
      <c r="AE449" s="59"/>
      <c r="AF449" s="59"/>
      <c r="AG449" s="59"/>
      <c r="AH449" s="59"/>
      <c r="AI449" s="59"/>
    </row>
    <row r="450" spans="1:35" ht="12.5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  <c r="AA450" s="59"/>
      <c r="AB450" s="59"/>
      <c r="AC450" s="59"/>
      <c r="AD450" s="59"/>
      <c r="AE450" s="59"/>
      <c r="AF450" s="59"/>
      <c r="AG450" s="59"/>
      <c r="AH450" s="59"/>
      <c r="AI450" s="59"/>
    </row>
    <row r="451" spans="1:35" ht="12.5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  <c r="AA451" s="59"/>
      <c r="AB451" s="59"/>
      <c r="AC451" s="59"/>
      <c r="AD451" s="59"/>
      <c r="AE451" s="59"/>
      <c r="AF451" s="59"/>
      <c r="AG451" s="59"/>
      <c r="AH451" s="59"/>
      <c r="AI451" s="59"/>
    </row>
    <row r="452" spans="1:35" ht="12.5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  <c r="AA452" s="59"/>
      <c r="AB452" s="59"/>
      <c r="AC452" s="59"/>
      <c r="AD452" s="59"/>
      <c r="AE452" s="59"/>
      <c r="AF452" s="59"/>
      <c r="AG452" s="59"/>
      <c r="AH452" s="59"/>
      <c r="AI452" s="59"/>
    </row>
    <row r="453" spans="1:35" ht="12.5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  <c r="AA453" s="59"/>
      <c r="AB453" s="59"/>
      <c r="AC453" s="59"/>
      <c r="AD453" s="59"/>
      <c r="AE453" s="59"/>
      <c r="AF453" s="59"/>
      <c r="AG453" s="59"/>
      <c r="AH453" s="59"/>
      <c r="AI453" s="59"/>
    </row>
    <row r="454" spans="1:35" ht="12.5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  <c r="AA454" s="59"/>
      <c r="AB454" s="59"/>
      <c r="AC454" s="59"/>
      <c r="AD454" s="59"/>
      <c r="AE454" s="59"/>
      <c r="AF454" s="59"/>
      <c r="AG454" s="59"/>
      <c r="AH454" s="59"/>
      <c r="AI454" s="59"/>
    </row>
    <row r="455" spans="1:35" ht="12.5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  <c r="AA455" s="59"/>
      <c r="AB455" s="59"/>
      <c r="AC455" s="59"/>
      <c r="AD455" s="59"/>
      <c r="AE455" s="59"/>
      <c r="AF455" s="59"/>
      <c r="AG455" s="59"/>
      <c r="AH455" s="59"/>
      <c r="AI455" s="59"/>
    </row>
    <row r="456" spans="1:35" ht="12.5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  <c r="AA456" s="59"/>
      <c r="AB456" s="59"/>
      <c r="AC456" s="59"/>
      <c r="AD456" s="59"/>
      <c r="AE456" s="59"/>
      <c r="AF456" s="59"/>
      <c r="AG456" s="59"/>
      <c r="AH456" s="59"/>
      <c r="AI456" s="59"/>
    </row>
    <row r="457" spans="1:35" ht="12.5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  <c r="AA457" s="59"/>
      <c r="AB457" s="59"/>
      <c r="AC457" s="59"/>
      <c r="AD457" s="59"/>
      <c r="AE457" s="59"/>
      <c r="AF457" s="59"/>
      <c r="AG457" s="59"/>
      <c r="AH457" s="59"/>
      <c r="AI457" s="59"/>
    </row>
    <row r="458" spans="1:35" ht="12.5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  <c r="AA458" s="59"/>
      <c r="AB458" s="59"/>
      <c r="AC458" s="59"/>
      <c r="AD458" s="59"/>
      <c r="AE458" s="59"/>
      <c r="AF458" s="59"/>
      <c r="AG458" s="59"/>
      <c r="AH458" s="59"/>
      <c r="AI458" s="59"/>
    </row>
    <row r="459" spans="1:35" ht="12.5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  <c r="AA459" s="59"/>
      <c r="AB459" s="59"/>
      <c r="AC459" s="59"/>
      <c r="AD459" s="59"/>
      <c r="AE459" s="59"/>
      <c r="AF459" s="59"/>
      <c r="AG459" s="59"/>
      <c r="AH459" s="59"/>
      <c r="AI459" s="59"/>
    </row>
    <row r="460" spans="1:35" ht="12.5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  <c r="AA460" s="59"/>
      <c r="AB460" s="59"/>
      <c r="AC460" s="59"/>
      <c r="AD460" s="59"/>
      <c r="AE460" s="59"/>
      <c r="AF460" s="59"/>
      <c r="AG460" s="59"/>
      <c r="AH460" s="59"/>
      <c r="AI460" s="59"/>
    </row>
    <row r="461" spans="1:35" ht="12.5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  <c r="AA461" s="59"/>
      <c r="AB461" s="59"/>
      <c r="AC461" s="59"/>
      <c r="AD461" s="59"/>
      <c r="AE461" s="59"/>
      <c r="AF461" s="59"/>
      <c r="AG461" s="59"/>
      <c r="AH461" s="59"/>
      <c r="AI461" s="59"/>
    </row>
    <row r="462" spans="1:35" ht="12.5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  <c r="AA462" s="59"/>
      <c r="AB462" s="59"/>
      <c r="AC462" s="59"/>
      <c r="AD462" s="59"/>
      <c r="AE462" s="59"/>
      <c r="AF462" s="59"/>
      <c r="AG462" s="59"/>
      <c r="AH462" s="59"/>
      <c r="AI462" s="59"/>
    </row>
    <row r="463" spans="1:35" ht="12.5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  <c r="AA463" s="59"/>
      <c r="AB463" s="59"/>
      <c r="AC463" s="59"/>
      <c r="AD463" s="59"/>
      <c r="AE463" s="59"/>
      <c r="AF463" s="59"/>
      <c r="AG463" s="59"/>
      <c r="AH463" s="59"/>
      <c r="AI463" s="59"/>
    </row>
    <row r="464" spans="1:35" ht="12.5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  <c r="AA464" s="59"/>
      <c r="AB464" s="59"/>
      <c r="AC464" s="59"/>
      <c r="AD464" s="59"/>
      <c r="AE464" s="59"/>
      <c r="AF464" s="59"/>
      <c r="AG464" s="59"/>
      <c r="AH464" s="59"/>
      <c r="AI464" s="59"/>
    </row>
    <row r="465" spans="1:35" ht="12.5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  <c r="AA465" s="59"/>
      <c r="AB465" s="59"/>
      <c r="AC465" s="59"/>
      <c r="AD465" s="59"/>
      <c r="AE465" s="59"/>
      <c r="AF465" s="59"/>
      <c r="AG465" s="59"/>
      <c r="AH465" s="59"/>
      <c r="AI465" s="59"/>
    </row>
    <row r="466" spans="1:35" ht="12.5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  <c r="AA466" s="59"/>
      <c r="AB466" s="59"/>
      <c r="AC466" s="59"/>
      <c r="AD466" s="59"/>
      <c r="AE466" s="59"/>
      <c r="AF466" s="59"/>
      <c r="AG466" s="59"/>
      <c r="AH466" s="59"/>
      <c r="AI466" s="59"/>
    </row>
    <row r="467" spans="1:35" ht="12.5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  <c r="AA467" s="59"/>
      <c r="AB467" s="59"/>
      <c r="AC467" s="59"/>
      <c r="AD467" s="59"/>
      <c r="AE467" s="59"/>
      <c r="AF467" s="59"/>
      <c r="AG467" s="59"/>
      <c r="AH467" s="59"/>
      <c r="AI467" s="59"/>
    </row>
    <row r="468" spans="1:35" ht="12.5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  <c r="AA468" s="59"/>
      <c r="AB468" s="59"/>
      <c r="AC468" s="59"/>
      <c r="AD468" s="59"/>
      <c r="AE468" s="59"/>
      <c r="AF468" s="59"/>
      <c r="AG468" s="59"/>
      <c r="AH468" s="59"/>
      <c r="AI468" s="59"/>
    </row>
    <row r="469" spans="1:35" ht="12.5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  <c r="AA469" s="59"/>
      <c r="AB469" s="59"/>
      <c r="AC469" s="59"/>
      <c r="AD469" s="59"/>
      <c r="AE469" s="59"/>
      <c r="AF469" s="59"/>
      <c r="AG469" s="59"/>
      <c r="AH469" s="59"/>
      <c r="AI469" s="59"/>
    </row>
    <row r="470" spans="1:35" ht="12.5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  <c r="AA470" s="59"/>
      <c r="AB470" s="59"/>
      <c r="AC470" s="59"/>
      <c r="AD470" s="59"/>
      <c r="AE470" s="59"/>
      <c r="AF470" s="59"/>
      <c r="AG470" s="59"/>
      <c r="AH470" s="59"/>
      <c r="AI470" s="59"/>
    </row>
    <row r="471" spans="1:35" ht="12.5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  <c r="AA471" s="59"/>
      <c r="AB471" s="59"/>
      <c r="AC471" s="59"/>
      <c r="AD471" s="59"/>
      <c r="AE471" s="59"/>
      <c r="AF471" s="59"/>
      <c r="AG471" s="59"/>
      <c r="AH471" s="59"/>
      <c r="AI471" s="59"/>
    </row>
    <row r="472" spans="1:35" ht="12.5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  <c r="AA472" s="59"/>
      <c r="AB472" s="59"/>
      <c r="AC472" s="59"/>
      <c r="AD472" s="59"/>
      <c r="AE472" s="59"/>
      <c r="AF472" s="59"/>
      <c r="AG472" s="59"/>
      <c r="AH472" s="59"/>
      <c r="AI472" s="59"/>
    </row>
    <row r="473" spans="1:35" ht="12.5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  <c r="AA473" s="59"/>
      <c r="AB473" s="59"/>
      <c r="AC473" s="59"/>
      <c r="AD473" s="59"/>
      <c r="AE473" s="59"/>
      <c r="AF473" s="59"/>
      <c r="AG473" s="59"/>
      <c r="AH473" s="59"/>
      <c r="AI473" s="59"/>
    </row>
    <row r="474" spans="1:35" ht="12.5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  <c r="AA474" s="59"/>
      <c r="AB474" s="59"/>
      <c r="AC474" s="59"/>
      <c r="AD474" s="59"/>
      <c r="AE474" s="59"/>
      <c r="AF474" s="59"/>
      <c r="AG474" s="59"/>
      <c r="AH474" s="59"/>
      <c r="AI474" s="59"/>
    </row>
    <row r="475" spans="1:35" ht="12.5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  <c r="AA475" s="59"/>
      <c r="AB475" s="59"/>
      <c r="AC475" s="59"/>
      <c r="AD475" s="59"/>
      <c r="AE475" s="59"/>
      <c r="AF475" s="59"/>
      <c r="AG475" s="59"/>
      <c r="AH475" s="59"/>
      <c r="AI475" s="59"/>
    </row>
    <row r="476" spans="1:35" ht="12.5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  <c r="AA476" s="59"/>
      <c r="AB476" s="59"/>
      <c r="AC476" s="59"/>
      <c r="AD476" s="59"/>
      <c r="AE476" s="59"/>
      <c r="AF476" s="59"/>
      <c r="AG476" s="59"/>
      <c r="AH476" s="59"/>
      <c r="AI476" s="59"/>
    </row>
    <row r="477" spans="1:35" ht="12.5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  <c r="AA477" s="59"/>
      <c r="AB477" s="59"/>
      <c r="AC477" s="59"/>
      <c r="AD477" s="59"/>
      <c r="AE477" s="59"/>
      <c r="AF477" s="59"/>
      <c r="AG477" s="59"/>
      <c r="AH477" s="59"/>
      <c r="AI477" s="59"/>
    </row>
    <row r="478" spans="1:35" ht="12.5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  <c r="AA478" s="59"/>
      <c r="AB478" s="59"/>
      <c r="AC478" s="59"/>
      <c r="AD478" s="59"/>
      <c r="AE478" s="59"/>
      <c r="AF478" s="59"/>
      <c r="AG478" s="59"/>
      <c r="AH478" s="59"/>
      <c r="AI478" s="59"/>
    </row>
    <row r="479" spans="1:35" ht="12.5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  <c r="AA479" s="59"/>
      <c r="AB479" s="59"/>
      <c r="AC479" s="59"/>
      <c r="AD479" s="59"/>
      <c r="AE479" s="59"/>
      <c r="AF479" s="59"/>
      <c r="AG479" s="59"/>
      <c r="AH479" s="59"/>
      <c r="AI479" s="59"/>
    </row>
    <row r="480" spans="1:35" ht="12.5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  <c r="AA480" s="59"/>
      <c r="AB480" s="59"/>
      <c r="AC480" s="59"/>
      <c r="AD480" s="59"/>
      <c r="AE480" s="59"/>
      <c r="AF480" s="59"/>
      <c r="AG480" s="59"/>
      <c r="AH480" s="59"/>
      <c r="AI480" s="59"/>
    </row>
    <row r="481" spans="1:35" ht="12.5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  <c r="AA481" s="59"/>
      <c r="AB481" s="59"/>
      <c r="AC481" s="59"/>
      <c r="AD481" s="59"/>
      <c r="AE481" s="59"/>
      <c r="AF481" s="59"/>
      <c r="AG481" s="59"/>
      <c r="AH481" s="59"/>
      <c r="AI481" s="59"/>
    </row>
    <row r="482" spans="1:35" ht="12.5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  <c r="AA482" s="59"/>
      <c r="AB482" s="59"/>
      <c r="AC482" s="59"/>
      <c r="AD482" s="59"/>
      <c r="AE482" s="59"/>
      <c r="AF482" s="59"/>
      <c r="AG482" s="59"/>
      <c r="AH482" s="59"/>
      <c r="AI482" s="59"/>
    </row>
    <row r="483" spans="1:35" ht="12.5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  <c r="AA483" s="59"/>
      <c r="AB483" s="59"/>
      <c r="AC483" s="59"/>
      <c r="AD483" s="59"/>
      <c r="AE483" s="59"/>
      <c r="AF483" s="59"/>
      <c r="AG483" s="59"/>
      <c r="AH483" s="59"/>
      <c r="AI483" s="59"/>
    </row>
    <row r="484" spans="1:35" ht="12.5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  <c r="AA484" s="59"/>
      <c r="AB484" s="59"/>
      <c r="AC484" s="59"/>
      <c r="AD484" s="59"/>
      <c r="AE484" s="59"/>
      <c r="AF484" s="59"/>
      <c r="AG484" s="59"/>
      <c r="AH484" s="59"/>
      <c r="AI484" s="59"/>
    </row>
    <row r="485" spans="1:35" ht="12.5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  <c r="AA485" s="59"/>
      <c r="AB485" s="59"/>
      <c r="AC485" s="59"/>
      <c r="AD485" s="59"/>
      <c r="AE485" s="59"/>
      <c r="AF485" s="59"/>
      <c r="AG485" s="59"/>
      <c r="AH485" s="59"/>
      <c r="AI485" s="59"/>
    </row>
    <row r="486" spans="1:35" ht="12.5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  <c r="AA486" s="59"/>
      <c r="AB486" s="59"/>
      <c r="AC486" s="59"/>
      <c r="AD486" s="59"/>
      <c r="AE486" s="59"/>
      <c r="AF486" s="59"/>
      <c r="AG486" s="59"/>
      <c r="AH486" s="59"/>
      <c r="AI486" s="59"/>
    </row>
    <row r="487" spans="1:35" ht="12.5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  <c r="AA487" s="59"/>
      <c r="AB487" s="59"/>
      <c r="AC487" s="59"/>
      <c r="AD487" s="59"/>
      <c r="AE487" s="59"/>
      <c r="AF487" s="59"/>
      <c r="AG487" s="59"/>
      <c r="AH487" s="59"/>
      <c r="AI487" s="59"/>
    </row>
    <row r="488" spans="1:35" ht="12.5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  <c r="AA488" s="59"/>
      <c r="AB488" s="59"/>
      <c r="AC488" s="59"/>
      <c r="AD488" s="59"/>
      <c r="AE488" s="59"/>
      <c r="AF488" s="59"/>
      <c r="AG488" s="59"/>
      <c r="AH488" s="59"/>
      <c r="AI488" s="59"/>
    </row>
    <row r="489" spans="1:35" ht="12.5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  <c r="AA489" s="59"/>
      <c r="AB489" s="59"/>
      <c r="AC489" s="59"/>
      <c r="AD489" s="59"/>
      <c r="AE489" s="59"/>
      <c r="AF489" s="59"/>
      <c r="AG489" s="59"/>
      <c r="AH489" s="59"/>
      <c r="AI489" s="59"/>
    </row>
    <row r="490" spans="1:35" ht="12.5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  <c r="AA490" s="59"/>
      <c r="AB490" s="59"/>
      <c r="AC490" s="59"/>
      <c r="AD490" s="59"/>
      <c r="AE490" s="59"/>
      <c r="AF490" s="59"/>
      <c r="AG490" s="59"/>
      <c r="AH490" s="59"/>
      <c r="AI490" s="59"/>
    </row>
    <row r="491" spans="1:35" ht="12.5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  <c r="AA491" s="59"/>
      <c r="AB491" s="59"/>
      <c r="AC491" s="59"/>
      <c r="AD491" s="59"/>
      <c r="AE491" s="59"/>
      <c r="AF491" s="59"/>
      <c r="AG491" s="59"/>
      <c r="AH491" s="59"/>
      <c r="AI491" s="59"/>
    </row>
    <row r="492" spans="1:35" ht="12.5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  <c r="AA492" s="59"/>
      <c r="AB492" s="59"/>
      <c r="AC492" s="59"/>
      <c r="AD492" s="59"/>
      <c r="AE492" s="59"/>
      <c r="AF492" s="59"/>
      <c r="AG492" s="59"/>
      <c r="AH492" s="59"/>
      <c r="AI492" s="59"/>
    </row>
    <row r="493" spans="1:35" ht="12.5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  <c r="AA493" s="59"/>
      <c r="AB493" s="59"/>
      <c r="AC493" s="59"/>
      <c r="AD493" s="59"/>
      <c r="AE493" s="59"/>
      <c r="AF493" s="59"/>
      <c r="AG493" s="59"/>
      <c r="AH493" s="59"/>
      <c r="AI493" s="59"/>
    </row>
    <row r="494" spans="1:35" ht="12.5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  <c r="AA494" s="59"/>
      <c r="AB494" s="59"/>
      <c r="AC494" s="59"/>
      <c r="AD494" s="59"/>
      <c r="AE494" s="59"/>
      <c r="AF494" s="59"/>
      <c r="AG494" s="59"/>
      <c r="AH494" s="59"/>
      <c r="AI494" s="59"/>
    </row>
    <row r="495" spans="1:35" ht="12.5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  <c r="AA495" s="59"/>
      <c r="AB495" s="59"/>
      <c r="AC495" s="59"/>
      <c r="AD495" s="59"/>
      <c r="AE495" s="59"/>
      <c r="AF495" s="59"/>
      <c r="AG495" s="59"/>
      <c r="AH495" s="59"/>
      <c r="AI495" s="59"/>
    </row>
    <row r="496" spans="1:35" ht="12.5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  <c r="AA496" s="59"/>
      <c r="AB496" s="59"/>
      <c r="AC496" s="59"/>
      <c r="AD496" s="59"/>
      <c r="AE496" s="59"/>
      <c r="AF496" s="59"/>
      <c r="AG496" s="59"/>
      <c r="AH496" s="59"/>
      <c r="AI496" s="59"/>
    </row>
    <row r="497" spans="1:35" ht="12.5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  <c r="AA497" s="59"/>
      <c r="AB497" s="59"/>
      <c r="AC497" s="59"/>
      <c r="AD497" s="59"/>
      <c r="AE497" s="59"/>
      <c r="AF497" s="59"/>
      <c r="AG497" s="59"/>
      <c r="AH497" s="59"/>
      <c r="AI497" s="59"/>
    </row>
    <row r="498" spans="1:35" ht="12.5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  <c r="AA498" s="59"/>
      <c r="AB498" s="59"/>
      <c r="AC498" s="59"/>
      <c r="AD498" s="59"/>
      <c r="AE498" s="59"/>
      <c r="AF498" s="59"/>
      <c r="AG498" s="59"/>
      <c r="AH498" s="59"/>
      <c r="AI498" s="59"/>
    </row>
    <row r="499" spans="1:35" ht="12.5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  <c r="AA499" s="59"/>
      <c r="AB499" s="59"/>
      <c r="AC499" s="59"/>
      <c r="AD499" s="59"/>
      <c r="AE499" s="59"/>
      <c r="AF499" s="59"/>
      <c r="AG499" s="59"/>
      <c r="AH499" s="59"/>
      <c r="AI499" s="59"/>
    </row>
    <row r="500" spans="1:35" ht="12.5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  <c r="AA500" s="59"/>
      <c r="AB500" s="59"/>
      <c r="AC500" s="59"/>
      <c r="AD500" s="59"/>
      <c r="AE500" s="59"/>
      <c r="AF500" s="59"/>
      <c r="AG500" s="59"/>
      <c r="AH500" s="59"/>
      <c r="AI500" s="59"/>
    </row>
    <row r="501" spans="1:35" ht="12.5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  <c r="AA501" s="59"/>
      <c r="AB501" s="59"/>
      <c r="AC501" s="59"/>
      <c r="AD501" s="59"/>
      <c r="AE501" s="59"/>
      <c r="AF501" s="59"/>
      <c r="AG501" s="59"/>
      <c r="AH501" s="59"/>
      <c r="AI501" s="59"/>
    </row>
    <row r="502" spans="1:35" ht="12.5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  <c r="AA502" s="59"/>
      <c r="AB502" s="59"/>
      <c r="AC502" s="59"/>
      <c r="AD502" s="59"/>
      <c r="AE502" s="59"/>
      <c r="AF502" s="59"/>
      <c r="AG502" s="59"/>
      <c r="AH502" s="59"/>
      <c r="AI502" s="59"/>
    </row>
    <row r="503" spans="1:35" ht="12.5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  <c r="AA503" s="59"/>
      <c r="AB503" s="59"/>
      <c r="AC503" s="59"/>
      <c r="AD503" s="59"/>
      <c r="AE503" s="59"/>
      <c r="AF503" s="59"/>
      <c r="AG503" s="59"/>
      <c r="AH503" s="59"/>
      <c r="AI503" s="59"/>
    </row>
    <row r="504" spans="1:35" ht="12.5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  <c r="AA504" s="59"/>
      <c r="AB504" s="59"/>
      <c r="AC504" s="59"/>
      <c r="AD504" s="59"/>
      <c r="AE504" s="59"/>
      <c r="AF504" s="59"/>
      <c r="AG504" s="59"/>
      <c r="AH504" s="59"/>
      <c r="AI504" s="59"/>
    </row>
    <row r="505" spans="1:35" ht="12.5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  <c r="AA505" s="59"/>
      <c r="AB505" s="59"/>
      <c r="AC505" s="59"/>
      <c r="AD505" s="59"/>
      <c r="AE505" s="59"/>
      <c r="AF505" s="59"/>
      <c r="AG505" s="59"/>
      <c r="AH505" s="59"/>
      <c r="AI505" s="59"/>
    </row>
    <row r="506" spans="1:35" ht="12.5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  <c r="AA506" s="59"/>
      <c r="AB506" s="59"/>
      <c r="AC506" s="59"/>
      <c r="AD506" s="59"/>
      <c r="AE506" s="59"/>
      <c r="AF506" s="59"/>
      <c r="AG506" s="59"/>
      <c r="AH506" s="59"/>
      <c r="AI506" s="59"/>
    </row>
    <row r="507" spans="1:35" ht="12.5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  <c r="AA507" s="59"/>
      <c r="AB507" s="59"/>
      <c r="AC507" s="59"/>
      <c r="AD507" s="59"/>
      <c r="AE507" s="59"/>
      <c r="AF507" s="59"/>
      <c r="AG507" s="59"/>
      <c r="AH507" s="59"/>
      <c r="AI507" s="59"/>
    </row>
    <row r="508" spans="1:35" ht="12.5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  <c r="AA508" s="59"/>
      <c r="AB508" s="59"/>
      <c r="AC508" s="59"/>
      <c r="AD508" s="59"/>
      <c r="AE508" s="59"/>
      <c r="AF508" s="59"/>
      <c r="AG508" s="59"/>
      <c r="AH508" s="59"/>
      <c r="AI508" s="59"/>
    </row>
    <row r="509" spans="1:35" ht="12.5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  <c r="AA509" s="59"/>
      <c r="AB509" s="59"/>
      <c r="AC509" s="59"/>
      <c r="AD509" s="59"/>
      <c r="AE509" s="59"/>
      <c r="AF509" s="59"/>
      <c r="AG509" s="59"/>
      <c r="AH509" s="59"/>
      <c r="AI509" s="59"/>
    </row>
    <row r="510" spans="1:35" ht="12.5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  <c r="AA510" s="59"/>
      <c r="AB510" s="59"/>
      <c r="AC510" s="59"/>
      <c r="AD510" s="59"/>
      <c r="AE510" s="59"/>
      <c r="AF510" s="59"/>
      <c r="AG510" s="59"/>
      <c r="AH510" s="59"/>
      <c r="AI510" s="59"/>
    </row>
    <row r="511" spans="1:35" ht="12.5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  <c r="AA511" s="59"/>
      <c r="AB511" s="59"/>
      <c r="AC511" s="59"/>
      <c r="AD511" s="59"/>
      <c r="AE511" s="59"/>
      <c r="AF511" s="59"/>
      <c r="AG511" s="59"/>
      <c r="AH511" s="59"/>
      <c r="AI511" s="59"/>
    </row>
    <row r="512" spans="1:35" ht="12.5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  <c r="AA512" s="59"/>
      <c r="AB512" s="59"/>
      <c r="AC512" s="59"/>
      <c r="AD512" s="59"/>
      <c r="AE512" s="59"/>
      <c r="AF512" s="59"/>
      <c r="AG512" s="59"/>
      <c r="AH512" s="59"/>
      <c r="AI512" s="59"/>
    </row>
    <row r="513" spans="1:35" ht="12.5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  <c r="AA513" s="59"/>
      <c r="AB513" s="59"/>
      <c r="AC513" s="59"/>
      <c r="AD513" s="59"/>
      <c r="AE513" s="59"/>
      <c r="AF513" s="59"/>
      <c r="AG513" s="59"/>
      <c r="AH513" s="59"/>
      <c r="AI513" s="59"/>
    </row>
    <row r="514" spans="1:35" ht="12.5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  <c r="AA514" s="59"/>
      <c r="AB514" s="59"/>
      <c r="AC514" s="59"/>
      <c r="AD514" s="59"/>
      <c r="AE514" s="59"/>
      <c r="AF514" s="59"/>
      <c r="AG514" s="59"/>
      <c r="AH514" s="59"/>
      <c r="AI514" s="59"/>
    </row>
    <row r="515" spans="1:35" ht="12.5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  <c r="AA515" s="59"/>
      <c r="AB515" s="59"/>
      <c r="AC515" s="59"/>
      <c r="AD515" s="59"/>
      <c r="AE515" s="59"/>
      <c r="AF515" s="59"/>
      <c r="AG515" s="59"/>
      <c r="AH515" s="59"/>
      <c r="AI515" s="59"/>
    </row>
    <row r="516" spans="1:35" ht="12.5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  <c r="AA516" s="59"/>
      <c r="AB516" s="59"/>
      <c r="AC516" s="59"/>
      <c r="AD516" s="59"/>
      <c r="AE516" s="59"/>
      <c r="AF516" s="59"/>
      <c r="AG516" s="59"/>
      <c r="AH516" s="59"/>
      <c r="AI516" s="59"/>
    </row>
    <row r="517" spans="1:35" ht="12.5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  <c r="AA517" s="59"/>
      <c r="AB517" s="59"/>
      <c r="AC517" s="59"/>
      <c r="AD517" s="59"/>
      <c r="AE517" s="59"/>
      <c r="AF517" s="59"/>
      <c r="AG517" s="59"/>
      <c r="AH517" s="59"/>
      <c r="AI517" s="59"/>
    </row>
    <row r="518" spans="1:35" ht="12.5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  <c r="AA518" s="59"/>
      <c r="AB518" s="59"/>
      <c r="AC518" s="59"/>
      <c r="AD518" s="59"/>
      <c r="AE518" s="59"/>
      <c r="AF518" s="59"/>
      <c r="AG518" s="59"/>
      <c r="AH518" s="59"/>
      <c r="AI518" s="59"/>
    </row>
    <row r="519" spans="1:35" ht="12.5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  <c r="AA519" s="59"/>
      <c r="AB519" s="59"/>
      <c r="AC519" s="59"/>
      <c r="AD519" s="59"/>
      <c r="AE519" s="59"/>
      <c r="AF519" s="59"/>
      <c r="AG519" s="59"/>
      <c r="AH519" s="59"/>
      <c r="AI519" s="59"/>
    </row>
    <row r="520" spans="1:35" ht="12.5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  <c r="AA520" s="59"/>
      <c r="AB520" s="59"/>
      <c r="AC520" s="59"/>
      <c r="AD520" s="59"/>
      <c r="AE520" s="59"/>
      <c r="AF520" s="59"/>
      <c r="AG520" s="59"/>
      <c r="AH520" s="59"/>
      <c r="AI520" s="59"/>
    </row>
    <row r="521" spans="1:35" ht="12.5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  <c r="AA521" s="59"/>
      <c r="AB521" s="59"/>
      <c r="AC521" s="59"/>
      <c r="AD521" s="59"/>
      <c r="AE521" s="59"/>
      <c r="AF521" s="59"/>
      <c r="AG521" s="59"/>
      <c r="AH521" s="59"/>
      <c r="AI521" s="59"/>
    </row>
    <row r="522" spans="1:35" ht="12.5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  <c r="AA522" s="59"/>
      <c r="AB522" s="59"/>
      <c r="AC522" s="59"/>
      <c r="AD522" s="59"/>
      <c r="AE522" s="59"/>
      <c r="AF522" s="59"/>
      <c r="AG522" s="59"/>
      <c r="AH522" s="59"/>
      <c r="AI522" s="59"/>
    </row>
    <row r="523" spans="1:35" ht="12.5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  <c r="AA523" s="59"/>
      <c r="AB523" s="59"/>
      <c r="AC523" s="59"/>
      <c r="AD523" s="59"/>
      <c r="AE523" s="59"/>
      <c r="AF523" s="59"/>
      <c r="AG523" s="59"/>
      <c r="AH523" s="59"/>
      <c r="AI523" s="59"/>
    </row>
    <row r="524" spans="1:35" ht="12.5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  <c r="AA524" s="59"/>
      <c r="AB524" s="59"/>
      <c r="AC524" s="59"/>
      <c r="AD524" s="59"/>
      <c r="AE524" s="59"/>
      <c r="AF524" s="59"/>
      <c r="AG524" s="59"/>
      <c r="AH524" s="59"/>
      <c r="AI524" s="59"/>
    </row>
    <row r="525" spans="1:35" ht="12.5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  <c r="AA525" s="59"/>
      <c r="AB525" s="59"/>
      <c r="AC525" s="59"/>
      <c r="AD525" s="59"/>
      <c r="AE525" s="59"/>
      <c r="AF525" s="59"/>
      <c r="AG525" s="59"/>
      <c r="AH525" s="59"/>
      <c r="AI525" s="59"/>
    </row>
    <row r="526" spans="1:35" ht="12.5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  <c r="AA526" s="59"/>
      <c r="AB526" s="59"/>
      <c r="AC526" s="59"/>
      <c r="AD526" s="59"/>
      <c r="AE526" s="59"/>
      <c r="AF526" s="59"/>
      <c r="AG526" s="59"/>
      <c r="AH526" s="59"/>
      <c r="AI526" s="59"/>
    </row>
    <row r="527" spans="1:35" ht="12.5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  <c r="AA527" s="59"/>
      <c r="AB527" s="59"/>
      <c r="AC527" s="59"/>
      <c r="AD527" s="59"/>
      <c r="AE527" s="59"/>
      <c r="AF527" s="59"/>
      <c r="AG527" s="59"/>
      <c r="AH527" s="59"/>
      <c r="AI527" s="59"/>
    </row>
    <row r="528" spans="1:35" ht="12.5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  <c r="AA528" s="59"/>
      <c r="AB528" s="59"/>
      <c r="AC528" s="59"/>
      <c r="AD528" s="59"/>
      <c r="AE528" s="59"/>
      <c r="AF528" s="59"/>
      <c r="AG528" s="59"/>
      <c r="AH528" s="59"/>
      <c r="AI528" s="59"/>
    </row>
    <row r="529" spans="1:35" ht="12.5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  <c r="AA529" s="59"/>
      <c r="AB529" s="59"/>
      <c r="AC529" s="59"/>
      <c r="AD529" s="59"/>
      <c r="AE529" s="59"/>
      <c r="AF529" s="59"/>
      <c r="AG529" s="59"/>
      <c r="AH529" s="59"/>
      <c r="AI529" s="59"/>
    </row>
    <row r="530" spans="1:35" ht="12.5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  <c r="AA530" s="59"/>
      <c r="AB530" s="59"/>
      <c r="AC530" s="59"/>
      <c r="AD530" s="59"/>
      <c r="AE530" s="59"/>
      <c r="AF530" s="59"/>
      <c r="AG530" s="59"/>
      <c r="AH530" s="59"/>
      <c r="AI530" s="59"/>
    </row>
    <row r="531" spans="1:35" ht="12.5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  <c r="AA531" s="59"/>
      <c r="AB531" s="59"/>
      <c r="AC531" s="59"/>
      <c r="AD531" s="59"/>
      <c r="AE531" s="59"/>
      <c r="AF531" s="59"/>
      <c r="AG531" s="59"/>
      <c r="AH531" s="59"/>
      <c r="AI531" s="59"/>
    </row>
    <row r="532" spans="1:35" ht="12.5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  <c r="AA532" s="59"/>
      <c r="AB532" s="59"/>
      <c r="AC532" s="59"/>
      <c r="AD532" s="59"/>
      <c r="AE532" s="59"/>
      <c r="AF532" s="59"/>
      <c r="AG532" s="59"/>
      <c r="AH532" s="59"/>
      <c r="AI532" s="59"/>
    </row>
    <row r="533" spans="1:35" ht="12.5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  <c r="AA533" s="59"/>
      <c r="AB533" s="59"/>
      <c r="AC533" s="59"/>
      <c r="AD533" s="59"/>
      <c r="AE533" s="59"/>
      <c r="AF533" s="59"/>
      <c r="AG533" s="59"/>
      <c r="AH533" s="59"/>
      <c r="AI533" s="59"/>
    </row>
    <row r="534" spans="1:35" ht="12.5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  <c r="AA534" s="59"/>
      <c r="AB534" s="59"/>
      <c r="AC534" s="59"/>
      <c r="AD534" s="59"/>
      <c r="AE534" s="59"/>
      <c r="AF534" s="59"/>
      <c r="AG534" s="59"/>
      <c r="AH534" s="59"/>
      <c r="AI534" s="59"/>
    </row>
    <row r="535" spans="1:35" ht="12.5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  <c r="AA535" s="59"/>
      <c r="AB535" s="59"/>
      <c r="AC535" s="59"/>
      <c r="AD535" s="59"/>
      <c r="AE535" s="59"/>
      <c r="AF535" s="59"/>
      <c r="AG535" s="59"/>
      <c r="AH535" s="59"/>
      <c r="AI535" s="59"/>
    </row>
    <row r="536" spans="1:35" ht="12.5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  <c r="AA536" s="59"/>
      <c r="AB536" s="59"/>
      <c r="AC536" s="59"/>
      <c r="AD536" s="59"/>
      <c r="AE536" s="59"/>
      <c r="AF536" s="59"/>
      <c r="AG536" s="59"/>
      <c r="AH536" s="59"/>
      <c r="AI536" s="59"/>
    </row>
    <row r="537" spans="1:35" ht="12.5">
      <c r="A537" s="59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  <c r="AA537" s="59"/>
      <c r="AB537" s="59"/>
      <c r="AC537" s="59"/>
      <c r="AD537" s="59"/>
      <c r="AE537" s="59"/>
      <c r="AF537" s="59"/>
      <c r="AG537" s="59"/>
      <c r="AH537" s="59"/>
      <c r="AI537" s="59"/>
    </row>
    <row r="538" spans="1:35" ht="12.5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  <c r="AA538" s="59"/>
      <c r="AB538" s="59"/>
      <c r="AC538" s="59"/>
      <c r="AD538" s="59"/>
      <c r="AE538" s="59"/>
      <c r="AF538" s="59"/>
      <c r="AG538" s="59"/>
      <c r="AH538" s="59"/>
      <c r="AI538" s="59"/>
    </row>
    <row r="539" spans="1:35" ht="12.5">
      <c r="A539" s="59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  <c r="AA539" s="59"/>
      <c r="AB539" s="59"/>
      <c r="AC539" s="59"/>
      <c r="AD539" s="59"/>
      <c r="AE539" s="59"/>
      <c r="AF539" s="59"/>
      <c r="AG539" s="59"/>
      <c r="AH539" s="59"/>
      <c r="AI539" s="59"/>
    </row>
    <row r="540" spans="1:35" ht="12.5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  <c r="AA540" s="59"/>
      <c r="AB540" s="59"/>
      <c r="AC540" s="59"/>
      <c r="AD540" s="59"/>
      <c r="AE540" s="59"/>
      <c r="AF540" s="59"/>
      <c r="AG540" s="59"/>
      <c r="AH540" s="59"/>
      <c r="AI540" s="59"/>
    </row>
    <row r="541" spans="1:35" ht="12.5">
      <c r="A541" s="59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  <c r="AA541" s="59"/>
      <c r="AB541" s="59"/>
      <c r="AC541" s="59"/>
      <c r="AD541" s="59"/>
      <c r="AE541" s="59"/>
      <c r="AF541" s="59"/>
      <c r="AG541" s="59"/>
      <c r="AH541" s="59"/>
      <c r="AI541" s="59"/>
    </row>
    <row r="542" spans="1:35" ht="12.5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  <c r="AA542" s="59"/>
      <c r="AB542" s="59"/>
      <c r="AC542" s="59"/>
      <c r="AD542" s="59"/>
      <c r="AE542" s="59"/>
      <c r="AF542" s="59"/>
      <c r="AG542" s="59"/>
      <c r="AH542" s="59"/>
      <c r="AI542" s="59"/>
    </row>
    <row r="543" spans="1:35" ht="12.5">
      <c r="A543" s="59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  <c r="AA543" s="59"/>
      <c r="AB543" s="59"/>
      <c r="AC543" s="59"/>
      <c r="AD543" s="59"/>
      <c r="AE543" s="59"/>
      <c r="AF543" s="59"/>
      <c r="AG543" s="59"/>
      <c r="AH543" s="59"/>
      <c r="AI543" s="59"/>
    </row>
    <row r="544" spans="1:35" ht="12.5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  <c r="AA544" s="59"/>
      <c r="AB544" s="59"/>
      <c r="AC544" s="59"/>
      <c r="AD544" s="59"/>
      <c r="AE544" s="59"/>
      <c r="AF544" s="59"/>
      <c r="AG544" s="59"/>
      <c r="AH544" s="59"/>
      <c r="AI544" s="59"/>
    </row>
    <row r="545" spans="1:35" ht="12.5">
      <c r="A545" s="59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  <c r="AA545" s="59"/>
      <c r="AB545" s="59"/>
      <c r="AC545" s="59"/>
      <c r="AD545" s="59"/>
      <c r="AE545" s="59"/>
      <c r="AF545" s="59"/>
      <c r="AG545" s="59"/>
      <c r="AH545" s="59"/>
      <c r="AI545" s="59"/>
    </row>
    <row r="546" spans="1:35" ht="12.5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  <c r="AA546" s="59"/>
      <c r="AB546" s="59"/>
      <c r="AC546" s="59"/>
      <c r="AD546" s="59"/>
      <c r="AE546" s="59"/>
      <c r="AF546" s="59"/>
      <c r="AG546" s="59"/>
      <c r="AH546" s="59"/>
      <c r="AI546" s="59"/>
    </row>
    <row r="547" spans="1:35" ht="12.5">
      <c r="A547" s="59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  <c r="AA547" s="59"/>
      <c r="AB547" s="59"/>
      <c r="AC547" s="59"/>
      <c r="AD547" s="59"/>
      <c r="AE547" s="59"/>
      <c r="AF547" s="59"/>
      <c r="AG547" s="59"/>
      <c r="AH547" s="59"/>
      <c r="AI547" s="59"/>
    </row>
    <row r="548" spans="1:35" ht="12.5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  <c r="AA548" s="59"/>
      <c r="AB548" s="59"/>
      <c r="AC548" s="59"/>
      <c r="AD548" s="59"/>
      <c r="AE548" s="59"/>
      <c r="AF548" s="59"/>
      <c r="AG548" s="59"/>
      <c r="AH548" s="59"/>
      <c r="AI548" s="59"/>
    </row>
    <row r="549" spans="1:35" ht="12.5">
      <c r="A549" s="59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  <c r="AA549" s="59"/>
      <c r="AB549" s="59"/>
      <c r="AC549" s="59"/>
      <c r="AD549" s="59"/>
      <c r="AE549" s="59"/>
      <c r="AF549" s="59"/>
      <c r="AG549" s="59"/>
      <c r="AH549" s="59"/>
      <c r="AI549" s="59"/>
    </row>
    <row r="550" spans="1:35" ht="12.5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  <c r="AA550" s="59"/>
      <c r="AB550" s="59"/>
      <c r="AC550" s="59"/>
      <c r="AD550" s="59"/>
      <c r="AE550" s="59"/>
      <c r="AF550" s="59"/>
      <c r="AG550" s="59"/>
      <c r="AH550" s="59"/>
      <c r="AI550" s="59"/>
    </row>
    <row r="551" spans="1:35" ht="12.5">
      <c r="A551" s="59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  <c r="AA551" s="59"/>
      <c r="AB551" s="59"/>
      <c r="AC551" s="59"/>
      <c r="AD551" s="59"/>
      <c r="AE551" s="59"/>
      <c r="AF551" s="59"/>
      <c r="AG551" s="59"/>
      <c r="AH551" s="59"/>
      <c r="AI551" s="59"/>
    </row>
    <row r="552" spans="1:35" ht="12.5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  <c r="AA552" s="59"/>
      <c r="AB552" s="59"/>
      <c r="AC552" s="59"/>
      <c r="AD552" s="59"/>
      <c r="AE552" s="59"/>
      <c r="AF552" s="59"/>
      <c r="AG552" s="59"/>
      <c r="AH552" s="59"/>
      <c r="AI552" s="59"/>
    </row>
    <row r="553" spans="1:35" ht="12.5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  <c r="AA553" s="59"/>
      <c r="AB553" s="59"/>
      <c r="AC553" s="59"/>
      <c r="AD553" s="59"/>
      <c r="AE553" s="59"/>
      <c r="AF553" s="59"/>
      <c r="AG553" s="59"/>
      <c r="AH553" s="59"/>
      <c r="AI553" s="59"/>
    </row>
    <row r="554" spans="1:35" ht="12.5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  <c r="AA554" s="59"/>
      <c r="AB554" s="59"/>
      <c r="AC554" s="59"/>
      <c r="AD554" s="59"/>
      <c r="AE554" s="59"/>
      <c r="AF554" s="59"/>
      <c r="AG554" s="59"/>
      <c r="AH554" s="59"/>
      <c r="AI554" s="59"/>
    </row>
    <row r="555" spans="1:35" ht="12.5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  <c r="AA555" s="59"/>
      <c r="AB555" s="59"/>
      <c r="AC555" s="59"/>
      <c r="AD555" s="59"/>
      <c r="AE555" s="59"/>
      <c r="AF555" s="59"/>
      <c r="AG555" s="59"/>
      <c r="AH555" s="59"/>
      <c r="AI555" s="59"/>
    </row>
    <row r="556" spans="1:35" ht="12.5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  <c r="AA556" s="59"/>
      <c r="AB556" s="59"/>
      <c r="AC556" s="59"/>
      <c r="AD556" s="59"/>
      <c r="AE556" s="59"/>
      <c r="AF556" s="59"/>
      <c r="AG556" s="59"/>
      <c r="AH556" s="59"/>
      <c r="AI556" s="59"/>
    </row>
    <row r="557" spans="1:35" ht="12.5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  <c r="AA557" s="59"/>
      <c r="AB557" s="59"/>
      <c r="AC557" s="59"/>
      <c r="AD557" s="59"/>
      <c r="AE557" s="59"/>
      <c r="AF557" s="59"/>
      <c r="AG557" s="59"/>
      <c r="AH557" s="59"/>
      <c r="AI557" s="59"/>
    </row>
    <row r="558" spans="1:35" ht="12.5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  <c r="AA558" s="59"/>
      <c r="AB558" s="59"/>
      <c r="AC558" s="59"/>
      <c r="AD558" s="59"/>
      <c r="AE558" s="59"/>
      <c r="AF558" s="59"/>
      <c r="AG558" s="59"/>
      <c r="AH558" s="59"/>
      <c r="AI558" s="59"/>
    </row>
    <row r="559" spans="1:35" ht="12.5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  <c r="AA559" s="59"/>
      <c r="AB559" s="59"/>
      <c r="AC559" s="59"/>
      <c r="AD559" s="59"/>
      <c r="AE559" s="59"/>
      <c r="AF559" s="59"/>
      <c r="AG559" s="59"/>
      <c r="AH559" s="59"/>
      <c r="AI559" s="59"/>
    </row>
    <row r="560" spans="1:35" ht="12.5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  <c r="AA560" s="59"/>
      <c r="AB560" s="59"/>
      <c r="AC560" s="59"/>
      <c r="AD560" s="59"/>
      <c r="AE560" s="59"/>
      <c r="AF560" s="59"/>
      <c r="AG560" s="59"/>
      <c r="AH560" s="59"/>
      <c r="AI560" s="59"/>
    </row>
    <row r="561" spans="1:35" ht="12.5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  <c r="AA561" s="59"/>
      <c r="AB561" s="59"/>
      <c r="AC561" s="59"/>
      <c r="AD561" s="59"/>
      <c r="AE561" s="59"/>
      <c r="AF561" s="59"/>
      <c r="AG561" s="59"/>
      <c r="AH561" s="59"/>
      <c r="AI561" s="59"/>
    </row>
    <row r="562" spans="1:35" ht="12.5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  <c r="AA562" s="59"/>
      <c r="AB562" s="59"/>
      <c r="AC562" s="59"/>
      <c r="AD562" s="59"/>
      <c r="AE562" s="59"/>
      <c r="AF562" s="59"/>
      <c r="AG562" s="59"/>
      <c r="AH562" s="59"/>
      <c r="AI562" s="59"/>
    </row>
    <row r="563" spans="1:35" ht="12.5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  <c r="AA563" s="59"/>
      <c r="AB563" s="59"/>
      <c r="AC563" s="59"/>
      <c r="AD563" s="59"/>
      <c r="AE563" s="59"/>
      <c r="AF563" s="59"/>
      <c r="AG563" s="59"/>
      <c r="AH563" s="59"/>
      <c r="AI563" s="59"/>
    </row>
    <row r="564" spans="1:35" ht="12.5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  <c r="AA564" s="59"/>
      <c r="AB564" s="59"/>
      <c r="AC564" s="59"/>
      <c r="AD564" s="59"/>
      <c r="AE564" s="59"/>
      <c r="AF564" s="59"/>
      <c r="AG564" s="59"/>
      <c r="AH564" s="59"/>
      <c r="AI564" s="59"/>
    </row>
    <row r="565" spans="1:35" ht="12.5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  <c r="AA565" s="59"/>
      <c r="AB565" s="59"/>
      <c r="AC565" s="59"/>
      <c r="AD565" s="59"/>
      <c r="AE565" s="59"/>
      <c r="AF565" s="59"/>
      <c r="AG565" s="59"/>
      <c r="AH565" s="59"/>
      <c r="AI565" s="59"/>
    </row>
    <row r="566" spans="1:35" ht="12.5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  <c r="AA566" s="59"/>
      <c r="AB566" s="59"/>
      <c r="AC566" s="59"/>
      <c r="AD566" s="59"/>
      <c r="AE566" s="59"/>
      <c r="AF566" s="59"/>
      <c r="AG566" s="59"/>
      <c r="AH566" s="59"/>
      <c r="AI566" s="59"/>
    </row>
    <row r="567" spans="1:35" ht="12.5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  <c r="AA567" s="59"/>
      <c r="AB567" s="59"/>
      <c r="AC567" s="59"/>
      <c r="AD567" s="59"/>
      <c r="AE567" s="59"/>
      <c r="AF567" s="59"/>
      <c r="AG567" s="59"/>
      <c r="AH567" s="59"/>
      <c r="AI567" s="59"/>
    </row>
    <row r="568" spans="1:35" ht="12.5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  <c r="AA568" s="59"/>
      <c r="AB568" s="59"/>
      <c r="AC568" s="59"/>
      <c r="AD568" s="59"/>
      <c r="AE568" s="59"/>
      <c r="AF568" s="59"/>
      <c r="AG568" s="59"/>
      <c r="AH568" s="59"/>
      <c r="AI568" s="59"/>
    </row>
    <row r="569" spans="1:35" ht="12.5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  <c r="AA569" s="59"/>
      <c r="AB569" s="59"/>
      <c r="AC569" s="59"/>
      <c r="AD569" s="59"/>
      <c r="AE569" s="59"/>
      <c r="AF569" s="59"/>
      <c r="AG569" s="59"/>
      <c r="AH569" s="59"/>
      <c r="AI569" s="59"/>
    </row>
    <row r="570" spans="1:35" ht="12.5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  <c r="AA570" s="59"/>
      <c r="AB570" s="59"/>
      <c r="AC570" s="59"/>
      <c r="AD570" s="59"/>
      <c r="AE570" s="59"/>
      <c r="AF570" s="59"/>
      <c r="AG570" s="59"/>
      <c r="AH570" s="59"/>
      <c r="AI570" s="59"/>
    </row>
    <row r="571" spans="1:35" ht="12.5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  <c r="AA571" s="59"/>
      <c r="AB571" s="59"/>
      <c r="AC571" s="59"/>
      <c r="AD571" s="59"/>
      <c r="AE571" s="59"/>
      <c r="AF571" s="59"/>
      <c r="AG571" s="59"/>
      <c r="AH571" s="59"/>
      <c r="AI571" s="59"/>
    </row>
    <row r="572" spans="1:35" ht="12.5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  <c r="AA572" s="59"/>
      <c r="AB572" s="59"/>
      <c r="AC572" s="59"/>
      <c r="AD572" s="59"/>
      <c r="AE572" s="59"/>
      <c r="AF572" s="59"/>
      <c r="AG572" s="59"/>
      <c r="AH572" s="59"/>
      <c r="AI572" s="59"/>
    </row>
    <row r="573" spans="1:35" ht="12.5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  <c r="AA573" s="59"/>
      <c r="AB573" s="59"/>
      <c r="AC573" s="59"/>
      <c r="AD573" s="59"/>
      <c r="AE573" s="59"/>
      <c r="AF573" s="59"/>
      <c r="AG573" s="59"/>
      <c r="AH573" s="59"/>
      <c r="AI573" s="59"/>
    </row>
    <row r="574" spans="1:35" ht="12.5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  <c r="AA574" s="59"/>
      <c r="AB574" s="59"/>
      <c r="AC574" s="59"/>
      <c r="AD574" s="59"/>
      <c r="AE574" s="59"/>
      <c r="AF574" s="59"/>
      <c r="AG574" s="59"/>
      <c r="AH574" s="59"/>
      <c r="AI574" s="59"/>
    </row>
    <row r="575" spans="1:35" ht="12.5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  <c r="AA575" s="59"/>
      <c r="AB575" s="59"/>
      <c r="AC575" s="59"/>
      <c r="AD575" s="59"/>
      <c r="AE575" s="59"/>
      <c r="AF575" s="59"/>
      <c r="AG575" s="59"/>
      <c r="AH575" s="59"/>
      <c r="AI575" s="59"/>
    </row>
    <row r="576" spans="1:35" ht="12.5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  <c r="AA576" s="59"/>
      <c r="AB576" s="59"/>
      <c r="AC576" s="59"/>
      <c r="AD576" s="59"/>
      <c r="AE576" s="59"/>
      <c r="AF576" s="59"/>
      <c r="AG576" s="59"/>
      <c r="AH576" s="59"/>
      <c r="AI576" s="59"/>
    </row>
    <row r="577" spans="1:35" ht="12.5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  <c r="AA577" s="59"/>
      <c r="AB577" s="59"/>
      <c r="AC577" s="59"/>
      <c r="AD577" s="59"/>
      <c r="AE577" s="59"/>
      <c r="AF577" s="59"/>
      <c r="AG577" s="59"/>
      <c r="AH577" s="59"/>
      <c r="AI577" s="59"/>
    </row>
    <row r="578" spans="1:35" ht="12.5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  <c r="AA578" s="59"/>
      <c r="AB578" s="59"/>
      <c r="AC578" s="59"/>
      <c r="AD578" s="59"/>
      <c r="AE578" s="59"/>
      <c r="AF578" s="59"/>
      <c r="AG578" s="59"/>
      <c r="AH578" s="59"/>
      <c r="AI578" s="59"/>
    </row>
    <row r="579" spans="1:35" ht="12.5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  <c r="AA579" s="59"/>
      <c r="AB579" s="59"/>
      <c r="AC579" s="59"/>
      <c r="AD579" s="59"/>
      <c r="AE579" s="59"/>
      <c r="AF579" s="59"/>
      <c r="AG579" s="59"/>
      <c r="AH579" s="59"/>
      <c r="AI579" s="59"/>
    </row>
    <row r="580" spans="1:35" ht="12.5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  <c r="AA580" s="59"/>
      <c r="AB580" s="59"/>
      <c r="AC580" s="59"/>
      <c r="AD580" s="59"/>
      <c r="AE580" s="59"/>
      <c r="AF580" s="59"/>
      <c r="AG580" s="59"/>
      <c r="AH580" s="59"/>
      <c r="AI580" s="59"/>
    </row>
    <row r="581" spans="1:35" ht="12.5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  <c r="AA581" s="59"/>
      <c r="AB581" s="59"/>
      <c r="AC581" s="59"/>
      <c r="AD581" s="59"/>
      <c r="AE581" s="59"/>
      <c r="AF581" s="59"/>
      <c r="AG581" s="59"/>
      <c r="AH581" s="59"/>
      <c r="AI581" s="59"/>
    </row>
    <row r="582" spans="1:35" ht="12.5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  <c r="AA582" s="59"/>
      <c r="AB582" s="59"/>
      <c r="AC582" s="59"/>
      <c r="AD582" s="59"/>
      <c r="AE582" s="59"/>
      <c r="AF582" s="59"/>
      <c r="AG582" s="59"/>
      <c r="AH582" s="59"/>
      <c r="AI582" s="59"/>
    </row>
    <row r="583" spans="1:35" ht="12.5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  <c r="AA583" s="59"/>
      <c r="AB583" s="59"/>
      <c r="AC583" s="59"/>
      <c r="AD583" s="59"/>
      <c r="AE583" s="59"/>
      <c r="AF583" s="59"/>
      <c r="AG583" s="59"/>
      <c r="AH583" s="59"/>
      <c r="AI583" s="59"/>
    </row>
    <row r="584" spans="1:35" ht="12.5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  <c r="AA584" s="59"/>
      <c r="AB584" s="59"/>
      <c r="AC584" s="59"/>
      <c r="AD584" s="59"/>
      <c r="AE584" s="59"/>
      <c r="AF584" s="59"/>
      <c r="AG584" s="59"/>
      <c r="AH584" s="59"/>
      <c r="AI584" s="59"/>
    </row>
    <row r="585" spans="1:35" ht="12.5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  <c r="AA585" s="59"/>
      <c r="AB585" s="59"/>
      <c r="AC585" s="59"/>
      <c r="AD585" s="59"/>
      <c r="AE585" s="59"/>
      <c r="AF585" s="59"/>
      <c r="AG585" s="59"/>
      <c r="AH585" s="59"/>
      <c r="AI585" s="59"/>
    </row>
    <row r="586" spans="1:35" ht="12.5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  <c r="AA586" s="59"/>
      <c r="AB586" s="59"/>
      <c r="AC586" s="59"/>
      <c r="AD586" s="59"/>
      <c r="AE586" s="59"/>
      <c r="AF586" s="59"/>
      <c r="AG586" s="59"/>
      <c r="AH586" s="59"/>
      <c r="AI586" s="59"/>
    </row>
    <row r="587" spans="1:35" ht="12.5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  <c r="AA587" s="59"/>
      <c r="AB587" s="59"/>
      <c r="AC587" s="59"/>
      <c r="AD587" s="59"/>
      <c r="AE587" s="59"/>
      <c r="AF587" s="59"/>
      <c r="AG587" s="59"/>
      <c r="AH587" s="59"/>
      <c r="AI587" s="59"/>
    </row>
    <row r="588" spans="1:35" ht="12.5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  <c r="AA588" s="59"/>
      <c r="AB588" s="59"/>
      <c r="AC588" s="59"/>
      <c r="AD588" s="59"/>
      <c r="AE588" s="59"/>
      <c r="AF588" s="59"/>
      <c r="AG588" s="59"/>
      <c r="AH588" s="59"/>
      <c r="AI588" s="59"/>
    </row>
    <row r="589" spans="1:35" ht="12.5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  <c r="AA589" s="59"/>
      <c r="AB589" s="59"/>
      <c r="AC589" s="59"/>
      <c r="AD589" s="59"/>
      <c r="AE589" s="59"/>
      <c r="AF589" s="59"/>
      <c r="AG589" s="59"/>
      <c r="AH589" s="59"/>
      <c r="AI589" s="59"/>
    </row>
    <row r="590" spans="1:35" ht="12.5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  <c r="AA590" s="59"/>
      <c r="AB590" s="59"/>
      <c r="AC590" s="59"/>
      <c r="AD590" s="59"/>
      <c r="AE590" s="59"/>
      <c r="AF590" s="59"/>
      <c r="AG590" s="59"/>
      <c r="AH590" s="59"/>
      <c r="AI590" s="59"/>
    </row>
    <row r="591" spans="1:35" ht="12.5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  <c r="AA591" s="59"/>
      <c r="AB591" s="59"/>
      <c r="AC591" s="59"/>
      <c r="AD591" s="59"/>
      <c r="AE591" s="59"/>
      <c r="AF591" s="59"/>
      <c r="AG591" s="59"/>
      <c r="AH591" s="59"/>
      <c r="AI591" s="59"/>
    </row>
    <row r="592" spans="1:35" ht="12.5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  <c r="AA592" s="59"/>
      <c r="AB592" s="59"/>
      <c r="AC592" s="59"/>
      <c r="AD592" s="59"/>
      <c r="AE592" s="59"/>
      <c r="AF592" s="59"/>
      <c r="AG592" s="59"/>
      <c r="AH592" s="59"/>
      <c r="AI592" s="59"/>
    </row>
    <row r="593" spans="1:35" ht="12.5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  <c r="AA593" s="59"/>
      <c r="AB593" s="59"/>
      <c r="AC593" s="59"/>
      <c r="AD593" s="59"/>
      <c r="AE593" s="59"/>
      <c r="AF593" s="59"/>
      <c r="AG593" s="59"/>
      <c r="AH593" s="59"/>
      <c r="AI593" s="59"/>
    </row>
    <row r="594" spans="1:35" ht="12.5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  <c r="AA594" s="59"/>
      <c r="AB594" s="59"/>
      <c r="AC594" s="59"/>
      <c r="AD594" s="59"/>
      <c r="AE594" s="59"/>
      <c r="AF594" s="59"/>
      <c r="AG594" s="59"/>
      <c r="AH594" s="59"/>
      <c r="AI594" s="59"/>
    </row>
    <row r="595" spans="1:35" ht="12.5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  <c r="AA595" s="59"/>
      <c r="AB595" s="59"/>
      <c r="AC595" s="59"/>
      <c r="AD595" s="59"/>
      <c r="AE595" s="59"/>
      <c r="AF595" s="59"/>
      <c r="AG595" s="59"/>
      <c r="AH595" s="59"/>
      <c r="AI595" s="59"/>
    </row>
    <row r="596" spans="1:35" ht="12.5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  <c r="AA596" s="59"/>
      <c r="AB596" s="59"/>
      <c r="AC596" s="59"/>
      <c r="AD596" s="59"/>
      <c r="AE596" s="59"/>
      <c r="AF596" s="59"/>
      <c r="AG596" s="59"/>
      <c r="AH596" s="59"/>
      <c r="AI596" s="59"/>
    </row>
    <row r="597" spans="1:35" ht="12.5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  <c r="AA597" s="59"/>
      <c r="AB597" s="59"/>
      <c r="AC597" s="59"/>
      <c r="AD597" s="59"/>
      <c r="AE597" s="59"/>
      <c r="AF597" s="59"/>
      <c r="AG597" s="59"/>
      <c r="AH597" s="59"/>
      <c r="AI597" s="59"/>
    </row>
    <row r="598" spans="1:35" ht="12.5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  <c r="AA598" s="59"/>
      <c r="AB598" s="59"/>
      <c r="AC598" s="59"/>
      <c r="AD598" s="59"/>
      <c r="AE598" s="59"/>
      <c r="AF598" s="59"/>
      <c r="AG598" s="59"/>
      <c r="AH598" s="59"/>
      <c r="AI598" s="59"/>
    </row>
    <row r="599" spans="1:35" ht="12.5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  <c r="AA599" s="59"/>
      <c r="AB599" s="59"/>
      <c r="AC599" s="59"/>
      <c r="AD599" s="59"/>
      <c r="AE599" s="59"/>
      <c r="AF599" s="59"/>
      <c r="AG599" s="59"/>
      <c r="AH599" s="59"/>
      <c r="AI599" s="59"/>
    </row>
    <row r="600" spans="1:35" ht="12.5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  <c r="AA600" s="59"/>
      <c r="AB600" s="59"/>
      <c r="AC600" s="59"/>
      <c r="AD600" s="59"/>
      <c r="AE600" s="59"/>
      <c r="AF600" s="59"/>
      <c r="AG600" s="59"/>
      <c r="AH600" s="59"/>
      <c r="AI600" s="59"/>
    </row>
    <row r="601" spans="1:35" ht="12.5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  <c r="AA601" s="59"/>
      <c r="AB601" s="59"/>
      <c r="AC601" s="59"/>
      <c r="AD601" s="59"/>
      <c r="AE601" s="59"/>
      <c r="AF601" s="59"/>
      <c r="AG601" s="59"/>
      <c r="AH601" s="59"/>
      <c r="AI601" s="59"/>
    </row>
    <row r="602" spans="1:35" ht="12.5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  <c r="AA602" s="59"/>
      <c r="AB602" s="59"/>
      <c r="AC602" s="59"/>
      <c r="AD602" s="59"/>
      <c r="AE602" s="59"/>
      <c r="AF602" s="59"/>
      <c r="AG602" s="59"/>
      <c r="AH602" s="59"/>
      <c r="AI602" s="59"/>
    </row>
    <row r="603" spans="1:35" ht="12.5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  <c r="AA603" s="59"/>
      <c r="AB603" s="59"/>
      <c r="AC603" s="59"/>
      <c r="AD603" s="59"/>
      <c r="AE603" s="59"/>
      <c r="AF603" s="59"/>
      <c r="AG603" s="59"/>
      <c r="AH603" s="59"/>
      <c r="AI603" s="59"/>
    </row>
    <row r="604" spans="1:35" ht="12.5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  <c r="AA604" s="59"/>
      <c r="AB604" s="59"/>
      <c r="AC604" s="59"/>
      <c r="AD604" s="59"/>
      <c r="AE604" s="59"/>
      <c r="AF604" s="59"/>
      <c r="AG604" s="59"/>
      <c r="AH604" s="59"/>
      <c r="AI604" s="59"/>
    </row>
    <row r="605" spans="1:35" ht="12.5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  <c r="AA605" s="59"/>
      <c r="AB605" s="59"/>
      <c r="AC605" s="59"/>
      <c r="AD605" s="59"/>
      <c r="AE605" s="59"/>
      <c r="AF605" s="59"/>
      <c r="AG605" s="59"/>
      <c r="AH605" s="59"/>
      <c r="AI605" s="59"/>
    </row>
    <row r="606" spans="1:35" ht="12.5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  <c r="AA606" s="59"/>
      <c r="AB606" s="59"/>
      <c r="AC606" s="59"/>
      <c r="AD606" s="59"/>
      <c r="AE606" s="59"/>
      <c r="AF606" s="59"/>
      <c r="AG606" s="59"/>
      <c r="AH606" s="59"/>
      <c r="AI606" s="59"/>
    </row>
    <row r="607" spans="1:35" ht="12.5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  <c r="AA607" s="59"/>
      <c r="AB607" s="59"/>
      <c r="AC607" s="59"/>
      <c r="AD607" s="59"/>
      <c r="AE607" s="59"/>
      <c r="AF607" s="59"/>
      <c r="AG607" s="59"/>
      <c r="AH607" s="59"/>
      <c r="AI607" s="59"/>
    </row>
    <row r="608" spans="1:35" ht="12.5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  <c r="AA608" s="59"/>
      <c r="AB608" s="59"/>
      <c r="AC608" s="59"/>
      <c r="AD608" s="59"/>
      <c r="AE608" s="59"/>
      <c r="AF608" s="59"/>
      <c r="AG608" s="59"/>
      <c r="AH608" s="59"/>
      <c r="AI608" s="59"/>
    </row>
    <row r="609" spans="1:35" ht="12.5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  <c r="AA609" s="59"/>
      <c r="AB609" s="59"/>
      <c r="AC609" s="59"/>
      <c r="AD609" s="59"/>
      <c r="AE609" s="59"/>
      <c r="AF609" s="59"/>
      <c r="AG609" s="59"/>
      <c r="AH609" s="59"/>
      <c r="AI609" s="59"/>
    </row>
    <row r="610" spans="1:35" ht="12.5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  <c r="AA610" s="59"/>
      <c r="AB610" s="59"/>
      <c r="AC610" s="59"/>
      <c r="AD610" s="59"/>
      <c r="AE610" s="59"/>
      <c r="AF610" s="59"/>
      <c r="AG610" s="59"/>
      <c r="AH610" s="59"/>
      <c r="AI610" s="59"/>
    </row>
    <row r="611" spans="1:35" ht="12.5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  <c r="AA611" s="59"/>
      <c r="AB611" s="59"/>
      <c r="AC611" s="59"/>
      <c r="AD611" s="59"/>
      <c r="AE611" s="59"/>
      <c r="AF611" s="59"/>
      <c r="AG611" s="59"/>
      <c r="AH611" s="59"/>
      <c r="AI611" s="59"/>
    </row>
    <row r="612" spans="1:35" ht="12.5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  <c r="AA612" s="59"/>
      <c r="AB612" s="59"/>
      <c r="AC612" s="59"/>
      <c r="AD612" s="59"/>
      <c r="AE612" s="59"/>
      <c r="AF612" s="59"/>
      <c r="AG612" s="59"/>
      <c r="AH612" s="59"/>
      <c r="AI612" s="59"/>
    </row>
    <row r="613" spans="1:35" ht="12.5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  <c r="AA613" s="59"/>
      <c r="AB613" s="59"/>
      <c r="AC613" s="59"/>
      <c r="AD613" s="59"/>
      <c r="AE613" s="59"/>
      <c r="AF613" s="59"/>
      <c r="AG613" s="59"/>
      <c r="AH613" s="59"/>
      <c r="AI613" s="59"/>
    </row>
    <row r="614" spans="1:35" ht="12.5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  <c r="AA614" s="59"/>
      <c r="AB614" s="59"/>
      <c r="AC614" s="59"/>
      <c r="AD614" s="59"/>
      <c r="AE614" s="59"/>
      <c r="AF614" s="59"/>
      <c r="AG614" s="59"/>
      <c r="AH614" s="59"/>
      <c r="AI614" s="59"/>
    </row>
    <row r="615" spans="1:35" ht="12.5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  <c r="AA615" s="59"/>
      <c r="AB615" s="59"/>
      <c r="AC615" s="59"/>
      <c r="AD615" s="59"/>
      <c r="AE615" s="59"/>
      <c r="AF615" s="59"/>
      <c r="AG615" s="59"/>
      <c r="AH615" s="59"/>
      <c r="AI615" s="59"/>
    </row>
    <row r="616" spans="1:35" ht="12.5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  <c r="AA616" s="59"/>
      <c r="AB616" s="59"/>
      <c r="AC616" s="59"/>
      <c r="AD616" s="59"/>
      <c r="AE616" s="59"/>
      <c r="AF616" s="59"/>
      <c r="AG616" s="59"/>
      <c r="AH616" s="59"/>
      <c r="AI616" s="59"/>
    </row>
    <row r="617" spans="1:35" ht="12.5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  <c r="AA617" s="59"/>
      <c r="AB617" s="59"/>
      <c r="AC617" s="59"/>
      <c r="AD617" s="59"/>
      <c r="AE617" s="59"/>
      <c r="AF617" s="59"/>
      <c r="AG617" s="59"/>
      <c r="AH617" s="59"/>
      <c r="AI617" s="59"/>
    </row>
    <row r="618" spans="1:35" ht="12.5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  <c r="AA618" s="59"/>
      <c r="AB618" s="59"/>
      <c r="AC618" s="59"/>
      <c r="AD618" s="59"/>
      <c r="AE618" s="59"/>
      <c r="AF618" s="59"/>
      <c r="AG618" s="59"/>
      <c r="AH618" s="59"/>
      <c r="AI618" s="59"/>
    </row>
    <row r="619" spans="1:35" ht="12.5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  <c r="AA619" s="59"/>
      <c r="AB619" s="59"/>
      <c r="AC619" s="59"/>
      <c r="AD619" s="59"/>
      <c r="AE619" s="59"/>
      <c r="AF619" s="59"/>
      <c r="AG619" s="59"/>
      <c r="AH619" s="59"/>
      <c r="AI619" s="59"/>
    </row>
    <row r="620" spans="1:35" ht="12.5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  <c r="AA620" s="59"/>
      <c r="AB620" s="59"/>
      <c r="AC620" s="59"/>
      <c r="AD620" s="59"/>
      <c r="AE620" s="59"/>
      <c r="AF620" s="59"/>
      <c r="AG620" s="59"/>
      <c r="AH620" s="59"/>
      <c r="AI620" s="59"/>
    </row>
    <row r="621" spans="1:35" ht="12.5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  <c r="AA621" s="59"/>
      <c r="AB621" s="59"/>
      <c r="AC621" s="59"/>
      <c r="AD621" s="59"/>
      <c r="AE621" s="59"/>
      <c r="AF621" s="59"/>
      <c r="AG621" s="59"/>
      <c r="AH621" s="59"/>
      <c r="AI621" s="59"/>
    </row>
    <row r="622" spans="1:35" ht="12.5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  <c r="AA622" s="59"/>
      <c r="AB622" s="59"/>
      <c r="AC622" s="59"/>
      <c r="AD622" s="59"/>
      <c r="AE622" s="59"/>
      <c r="AF622" s="59"/>
      <c r="AG622" s="59"/>
      <c r="AH622" s="59"/>
      <c r="AI622" s="59"/>
    </row>
    <row r="623" spans="1:35" ht="12.5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  <c r="AA623" s="59"/>
      <c r="AB623" s="59"/>
      <c r="AC623" s="59"/>
      <c r="AD623" s="59"/>
      <c r="AE623" s="59"/>
      <c r="AF623" s="59"/>
      <c r="AG623" s="59"/>
      <c r="AH623" s="59"/>
      <c r="AI623" s="59"/>
    </row>
    <row r="624" spans="1:35" ht="12.5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  <c r="AA624" s="59"/>
      <c r="AB624" s="59"/>
      <c r="AC624" s="59"/>
      <c r="AD624" s="59"/>
      <c r="AE624" s="59"/>
      <c r="AF624" s="59"/>
      <c r="AG624" s="59"/>
      <c r="AH624" s="59"/>
      <c r="AI624" s="59"/>
    </row>
    <row r="625" spans="1:35" ht="12.5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  <c r="AA625" s="59"/>
      <c r="AB625" s="59"/>
      <c r="AC625" s="59"/>
      <c r="AD625" s="59"/>
      <c r="AE625" s="59"/>
      <c r="AF625" s="59"/>
      <c r="AG625" s="59"/>
      <c r="AH625" s="59"/>
      <c r="AI625" s="59"/>
    </row>
    <row r="626" spans="1:35" ht="12.5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  <c r="AA626" s="59"/>
      <c r="AB626" s="59"/>
      <c r="AC626" s="59"/>
      <c r="AD626" s="59"/>
      <c r="AE626" s="59"/>
      <c r="AF626" s="59"/>
      <c r="AG626" s="59"/>
      <c r="AH626" s="59"/>
      <c r="AI626" s="59"/>
    </row>
    <row r="627" spans="1:35" ht="12.5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  <c r="AA627" s="59"/>
      <c r="AB627" s="59"/>
      <c r="AC627" s="59"/>
      <c r="AD627" s="59"/>
      <c r="AE627" s="59"/>
      <c r="AF627" s="59"/>
      <c r="AG627" s="59"/>
      <c r="AH627" s="59"/>
      <c r="AI627" s="59"/>
    </row>
    <row r="628" spans="1:35" ht="12.5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  <c r="AA628" s="59"/>
      <c r="AB628" s="59"/>
      <c r="AC628" s="59"/>
      <c r="AD628" s="59"/>
      <c r="AE628" s="59"/>
      <c r="AF628" s="59"/>
      <c r="AG628" s="59"/>
      <c r="AH628" s="59"/>
      <c r="AI628" s="59"/>
    </row>
    <row r="629" spans="1:35" ht="12.5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  <c r="AA629" s="59"/>
      <c r="AB629" s="59"/>
      <c r="AC629" s="59"/>
      <c r="AD629" s="59"/>
      <c r="AE629" s="59"/>
      <c r="AF629" s="59"/>
      <c r="AG629" s="59"/>
      <c r="AH629" s="59"/>
      <c r="AI629" s="59"/>
    </row>
    <row r="630" spans="1:35" ht="12.5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  <c r="AA630" s="59"/>
      <c r="AB630" s="59"/>
      <c r="AC630" s="59"/>
      <c r="AD630" s="59"/>
      <c r="AE630" s="59"/>
      <c r="AF630" s="59"/>
      <c r="AG630" s="59"/>
      <c r="AH630" s="59"/>
      <c r="AI630" s="59"/>
    </row>
    <row r="631" spans="1:35" ht="12.5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  <c r="AA631" s="59"/>
      <c r="AB631" s="59"/>
      <c r="AC631" s="59"/>
      <c r="AD631" s="59"/>
      <c r="AE631" s="59"/>
      <c r="AF631" s="59"/>
      <c r="AG631" s="59"/>
      <c r="AH631" s="59"/>
      <c r="AI631" s="59"/>
    </row>
    <row r="632" spans="1:35" ht="12.5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  <c r="AA632" s="59"/>
      <c r="AB632" s="59"/>
      <c r="AC632" s="59"/>
      <c r="AD632" s="59"/>
      <c r="AE632" s="59"/>
      <c r="AF632" s="59"/>
      <c r="AG632" s="59"/>
      <c r="AH632" s="59"/>
      <c r="AI632" s="59"/>
    </row>
    <row r="633" spans="1:35" ht="12.5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  <c r="AA633" s="59"/>
      <c r="AB633" s="59"/>
      <c r="AC633" s="59"/>
      <c r="AD633" s="59"/>
      <c r="AE633" s="59"/>
      <c r="AF633" s="59"/>
      <c r="AG633" s="59"/>
      <c r="AH633" s="59"/>
      <c r="AI633" s="59"/>
    </row>
    <row r="634" spans="1:35" ht="12.5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  <c r="AA634" s="59"/>
      <c r="AB634" s="59"/>
      <c r="AC634" s="59"/>
      <c r="AD634" s="59"/>
      <c r="AE634" s="59"/>
      <c r="AF634" s="59"/>
      <c r="AG634" s="59"/>
      <c r="AH634" s="59"/>
      <c r="AI634" s="59"/>
    </row>
    <row r="635" spans="1:35" ht="12.5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  <c r="AA635" s="59"/>
      <c r="AB635" s="59"/>
      <c r="AC635" s="59"/>
      <c r="AD635" s="59"/>
      <c r="AE635" s="59"/>
      <c r="AF635" s="59"/>
      <c r="AG635" s="59"/>
      <c r="AH635" s="59"/>
      <c r="AI635" s="59"/>
    </row>
    <row r="636" spans="1:35" ht="12.5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  <c r="AA636" s="59"/>
      <c r="AB636" s="59"/>
      <c r="AC636" s="59"/>
      <c r="AD636" s="59"/>
      <c r="AE636" s="59"/>
      <c r="AF636" s="59"/>
      <c r="AG636" s="59"/>
      <c r="AH636" s="59"/>
      <c r="AI636" s="59"/>
    </row>
    <row r="637" spans="1:35" ht="12.5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  <c r="AA637" s="59"/>
      <c r="AB637" s="59"/>
      <c r="AC637" s="59"/>
      <c r="AD637" s="59"/>
      <c r="AE637" s="59"/>
      <c r="AF637" s="59"/>
      <c r="AG637" s="59"/>
      <c r="AH637" s="59"/>
      <c r="AI637" s="59"/>
    </row>
    <row r="638" spans="1:35" ht="12.5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  <c r="AA638" s="59"/>
      <c r="AB638" s="59"/>
      <c r="AC638" s="59"/>
      <c r="AD638" s="59"/>
      <c r="AE638" s="59"/>
      <c r="AF638" s="59"/>
      <c r="AG638" s="59"/>
      <c r="AH638" s="59"/>
      <c r="AI638" s="59"/>
    </row>
    <row r="639" spans="1:35" ht="12.5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  <c r="AA639" s="59"/>
      <c r="AB639" s="59"/>
      <c r="AC639" s="59"/>
      <c r="AD639" s="59"/>
      <c r="AE639" s="59"/>
      <c r="AF639" s="59"/>
      <c r="AG639" s="59"/>
      <c r="AH639" s="59"/>
      <c r="AI639" s="59"/>
    </row>
    <row r="640" spans="1:35" ht="12.5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  <c r="AA640" s="59"/>
      <c r="AB640" s="59"/>
      <c r="AC640" s="59"/>
      <c r="AD640" s="59"/>
      <c r="AE640" s="59"/>
      <c r="AF640" s="59"/>
      <c r="AG640" s="59"/>
      <c r="AH640" s="59"/>
      <c r="AI640" s="59"/>
    </row>
    <row r="641" spans="1:35" ht="12.5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  <c r="AA641" s="59"/>
      <c r="AB641" s="59"/>
      <c r="AC641" s="59"/>
      <c r="AD641" s="59"/>
      <c r="AE641" s="59"/>
      <c r="AF641" s="59"/>
      <c r="AG641" s="59"/>
      <c r="AH641" s="59"/>
      <c r="AI641" s="59"/>
    </row>
    <row r="642" spans="1:35" ht="12.5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  <c r="AA642" s="59"/>
      <c r="AB642" s="59"/>
      <c r="AC642" s="59"/>
      <c r="AD642" s="59"/>
      <c r="AE642" s="59"/>
      <c r="AF642" s="59"/>
      <c r="AG642" s="59"/>
      <c r="AH642" s="59"/>
      <c r="AI642" s="59"/>
    </row>
    <row r="643" spans="1:35" ht="12.5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  <c r="AA643" s="59"/>
      <c r="AB643" s="59"/>
      <c r="AC643" s="59"/>
      <c r="AD643" s="59"/>
      <c r="AE643" s="59"/>
      <c r="AF643" s="59"/>
      <c r="AG643" s="59"/>
      <c r="AH643" s="59"/>
      <c r="AI643" s="59"/>
    </row>
    <row r="644" spans="1:35" ht="12.5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  <c r="AA644" s="59"/>
      <c r="AB644" s="59"/>
      <c r="AC644" s="59"/>
      <c r="AD644" s="59"/>
      <c r="AE644" s="59"/>
      <c r="AF644" s="59"/>
      <c r="AG644" s="59"/>
      <c r="AH644" s="59"/>
      <c r="AI644" s="59"/>
    </row>
    <row r="645" spans="1:35" ht="12.5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  <c r="AA645" s="59"/>
      <c r="AB645" s="59"/>
      <c r="AC645" s="59"/>
      <c r="AD645" s="59"/>
      <c r="AE645" s="59"/>
      <c r="AF645" s="59"/>
      <c r="AG645" s="59"/>
      <c r="AH645" s="59"/>
      <c r="AI645" s="59"/>
    </row>
    <row r="646" spans="1:35" ht="12.5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  <c r="AA646" s="59"/>
      <c r="AB646" s="59"/>
      <c r="AC646" s="59"/>
      <c r="AD646" s="59"/>
      <c r="AE646" s="59"/>
      <c r="AF646" s="59"/>
      <c r="AG646" s="59"/>
      <c r="AH646" s="59"/>
      <c r="AI646" s="59"/>
    </row>
    <row r="647" spans="1:35" ht="12.5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  <c r="AA647" s="59"/>
      <c r="AB647" s="59"/>
      <c r="AC647" s="59"/>
      <c r="AD647" s="59"/>
      <c r="AE647" s="59"/>
      <c r="AF647" s="59"/>
      <c r="AG647" s="59"/>
      <c r="AH647" s="59"/>
      <c r="AI647" s="59"/>
    </row>
    <row r="648" spans="1:35" ht="12.5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  <c r="AA648" s="59"/>
      <c r="AB648" s="59"/>
      <c r="AC648" s="59"/>
      <c r="AD648" s="59"/>
      <c r="AE648" s="59"/>
      <c r="AF648" s="59"/>
      <c r="AG648" s="59"/>
      <c r="AH648" s="59"/>
      <c r="AI648" s="59"/>
    </row>
    <row r="649" spans="1:35" ht="12.5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  <c r="AA649" s="59"/>
      <c r="AB649" s="59"/>
      <c r="AC649" s="59"/>
      <c r="AD649" s="59"/>
      <c r="AE649" s="59"/>
      <c r="AF649" s="59"/>
      <c r="AG649" s="59"/>
      <c r="AH649" s="59"/>
      <c r="AI649" s="59"/>
    </row>
    <row r="650" spans="1:35" ht="12.5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  <c r="AA650" s="59"/>
      <c r="AB650" s="59"/>
      <c r="AC650" s="59"/>
      <c r="AD650" s="59"/>
      <c r="AE650" s="59"/>
      <c r="AF650" s="59"/>
      <c r="AG650" s="59"/>
      <c r="AH650" s="59"/>
      <c r="AI650" s="59"/>
    </row>
    <row r="651" spans="1:35" ht="12.5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  <c r="AA651" s="59"/>
      <c r="AB651" s="59"/>
      <c r="AC651" s="59"/>
      <c r="AD651" s="59"/>
      <c r="AE651" s="59"/>
      <c r="AF651" s="59"/>
      <c r="AG651" s="59"/>
      <c r="AH651" s="59"/>
      <c r="AI651" s="59"/>
    </row>
    <row r="652" spans="1:35" ht="12.5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  <c r="AA652" s="59"/>
      <c r="AB652" s="59"/>
      <c r="AC652" s="59"/>
      <c r="AD652" s="59"/>
      <c r="AE652" s="59"/>
      <c r="AF652" s="59"/>
      <c r="AG652" s="59"/>
      <c r="AH652" s="59"/>
      <c r="AI652" s="59"/>
    </row>
    <row r="653" spans="1:35" ht="12.5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  <c r="AA653" s="59"/>
      <c r="AB653" s="59"/>
      <c r="AC653" s="59"/>
      <c r="AD653" s="59"/>
      <c r="AE653" s="59"/>
      <c r="AF653" s="59"/>
      <c r="AG653" s="59"/>
      <c r="AH653" s="59"/>
      <c r="AI653" s="59"/>
    </row>
    <row r="654" spans="1:35" ht="12.5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  <c r="AA654" s="59"/>
      <c r="AB654" s="59"/>
      <c r="AC654" s="59"/>
      <c r="AD654" s="59"/>
      <c r="AE654" s="59"/>
      <c r="AF654" s="59"/>
      <c r="AG654" s="59"/>
      <c r="AH654" s="59"/>
      <c r="AI654" s="59"/>
    </row>
    <row r="655" spans="1:35" ht="12.5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  <c r="AA655" s="59"/>
      <c r="AB655" s="59"/>
      <c r="AC655" s="59"/>
      <c r="AD655" s="59"/>
      <c r="AE655" s="59"/>
      <c r="AF655" s="59"/>
      <c r="AG655" s="59"/>
      <c r="AH655" s="59"/>
      <c r="AI655" s="59"/>
    </row>
    <row r="656" spans="1:35" ht="12.5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  <c r="AA656" s="59"/>
      <c r="AB656" s="59"/>
      <c r="AC656" s="59"/>
      <c r="AD656" s="59"/>
      <c r="AE656" s="59"/>
      <c r="AF656" s="59"/>
      <c r="AG656" s="59"/>
      <c r="AH656" s="59"/>
      <c r="AI656" s="59"/>
    </row>
    <row r="657" spans="1:35" ht="12.5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  <c r="AA657" s="59"/>
      <c r="AB657" s="59"/>
      <c r="AC657" s="59"/>
      <c r="AD657" s="59"/>
      <c r="AE657" s="59"/>
      <c r="AF657" s="59"/>
      <c r="AG657" s="59"/>
      <c r="AH657" s="59"/>
      <c r="AI657" s="59"/>
    </row>
    <row r="658" spans="1:35" ht="12.5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  <c r="AA658" s="59"/>
      <c r="AB658" s="59"/>
      <c r="AC658" s="59"/>
      <c r="AD658" s="59"/>
      <c r="AE658" s="59"/>
      <c r="AF658" s="59"/>
      <c r="AG658" s="59"/>
      <c r="AH658" s="59"/>
      <c r="AI658" s="59"/>
    </row>
    <row r="659" spans="1:35" ht="12.5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  <c r="AA659" s="59"/>
      <c r="AB659" s="59"/>
      <c r="AC659" s="59"/>
      <c r="AD659" s="59"/>
      <c r="AE659" s="59"/>
      <c r="AF659" s="59"/>
      <c r="AG659" s="59"/>
      <c r="AH659" s="59"/>
      <c r="AI659" s="59"/>
    </row>
    <row r="660" spans="1:35" ht="12.5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  <c r="AA660" s="59"/>
      <c r="AB660" s="59"/>
      <c r="AC660" s="59"/>
      <c r="AD660" s="59"/>
      <c r="AE660" s="59"/>
      <c r="AF660" s="59"/>
      <c r="AG660" s="59"/>
      <c r="AH660" s="59"/>
      <c r="AI660" s="59"/>
    </row>
    <row r="661" spans="1:35" ht="12.5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  <c r="AA661" s="59"/>
      <c r="AB661" s="59"/>
      <c r="AC661" s="59"/>
      <c r="AD661" s="59"/>
      <c r="AE661" s="59"/>
      <c r="AF661" s="59"/>
      <c r="AG661" s="59"/>
      <c r="AH661" s="59"/>
      <c r="AI661" s="59"/>
    </row>
    <row r="662" spans="1:35" ht="12.5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  <c r="AA662" s="59"/>
      <c r="AB662" s="59"/>
      <c r="AC662" s="59"/>
      <c r="AD662" s="59"/>
      <c r="AE662" s="59"/>
      <c r="AF662" s="59"/>
      <c r="AG662" s="59"/>
      <c r="AH662" s="59"/>
      <c r="AI662" s="59"/>
    </row>
    <row r="663" spans="1:35" ht="12.5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  <c r="AA663" s="59"/>
      <c r="AB663" s="59"/>
      <c r="AC663" s="59"/>
      <c r="AD663" s="59"/>
      <c r="AE663" s="59"/>
      <c r="AF663" s="59"/>
      <c r="AG663" s="59"/>
      <c r="AH663" s="59"/>
      <c r="AI663" s="59"/>
    </row>
    <row r="664" spans="1:35" ht="12.5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  <c r="AA664" s="59"/>
      <c r="AB664" s="59"/>
      <c r="AC664" s="59"/>
      <c r="AD664" s="59"/>
      <c r="AE664" s="59"/>
      <c r="AF664" s="59"/>
      <c r="AG664" s="59"/>
      <c r="AH664" s="59"/>
      <c r="AI664" s="59"/>
    </row>
    <row r="665" spans="1:35" ht="12.5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  <c r="AA665" s="59"/>
      <c r="AB665" s="59"/>
      <c r="AC665" s="59"/>
      <c r="AD665" s="59"/>
      <c r="AE665" s="59"/>
      <c r="AF665" s="59"/>
      <c r="AG665" s="59"/>
      <c r="AH665" s="59"/>
      <c r="AI665" s="59"/>
    </row>
    <row r="666" spans="1:35" ht="12.5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  <c r="AA666" s="59"/>
      <c r="AB666" s="59"/>
      <c r="AC666" s="59"/>
      <c r="AD666" s="59"/>
      <c r="AE666" s="59"/>
      <c r="AF666" s="59"/>
      <c r="AG666" s="59"/>
      <c r="AH666" s="59"/>
      <c r="AI666" s="59"/>
    </row>
    <row r="667" spans="1:35" ht="12.5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  <c r="AA667" s="59"/>
      <c r="AB667" s="59"/>
      <c r="AC667" s="59"/>
      <c r="AD667" s="59"/>
      <c r="AE667" s="59"/>
      <c r="AF667" s="59"/>
      <c r="AG667" s="59"/>
      <c r="AH667" s="59"/>
      <c r="AI667" s="59"/>
    </row>
    <row r="668" spans="1:35" ht="12.5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  <c r="AA668" s="59"/>
      <c r="AB668" s="59"/>
      <c r="AC668" s="59"/>
      <c r="AD668" s="59"/>
      <c r="AE668" s="59"/>
      <c r="AF668" s="59"/>
      <c r="AG668" s="59"/>
      <c r="AH668" s="59"/>
      <c r="AI668" s="59"/>
    </row>
    <row r="669" spans="1:35" ht="12.5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  <c r="AA669" s="59"/>
      <c r="AB669" s="59"/>
      <c r="AC669" s="59"/>
      <c r="AD669" s="59"/>
      <c r="AE669" s="59"/>
      <c r="AF669" s="59"/>
      <c r="AG669" s="59"/>
      <c r="AH669" s="59"/>
      <c r="AI669" s="59"/>
    </row>
    <row r="670" spans="1:35" ht="12.5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  <c r="AA670" s="59"/>
      <c r="AB670" s="59"/>
      <c r="AC670" s="59"/>
      <c r="AD670" s="59"/>
      <c r="AE670" s="59"/>
      <c r="AF670" s="59"/>
      <c r="AG670" s="59"/>
      <c r="AH670" s="59"/>
      <c r="AI670" s="59"/>
    </row>
    <row r="671" spans="1:35" ht="12.5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  <c r="AA671" s="59"/>
      <c r="AB671" s="59"/>
      <c r="AC671" s="59"/>
      <c r="AD671" s="59"/>
      <c r="AE671" s="59"/>
      <c r="AF671" s="59"/>
      <c r="AG671" s="59"/>
      <c r="AH671" s="59"/>
      <c r="AI671" s="59"/>
    </row>
    <row r="672" spans="1:35" ht="12.5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  <c r="AA672" s="59"/>
      <c r="AB672" s="59"/>
      <c r="AC672" s="59"/>
      <c r="AD672" s="59"/>
      <c r="AE672" s="59"/>
      <c r="AF672" s="59"/>
      <c r="AG672" s="59"/>
      <c r="AH672" s="59"/>
      <c r="AI672" s="59"/>
    </row>
    <row r="673" spans="1:35" ht="12.5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  <c r="AA673" s="59"/>
      <c r="AB673" s="59"/>
      <c r="AC673" s="59"/>
      <c r="AD673" s="59"/>
      <c r="AE673" s="59"/>
      <c r="AF673" s="59"/>
      <c r="AG673" s="59"/>
      <c r="AH673" s="59"/>
      <c r="AI673" s="59"/>
    </row>
    <row r="674" spans="1:35" ht="12.5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  <c r="AA674" s="59"/>
      <c r="AB674" s="59"/>
      <c r="AC674" s="59"/>
      <c r="AD674" s="59"/>
      <c r="AE674" s="59"/>
      <c r="AF674" s="59"/>
      <c r="AG674" s="59"/>
      <c r="AH674" s="59"/>
      <c r="AI674" s="59"/>
    </row>
    <row r="675" spans="1:35" ht="12.5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  <c r="AA675" s="59"/>
      <c r="AB675" s="59"/>
      <c r="AC675" s="59"/>
      <c r="AD675" s="59"/>
      <c r="AE675" s="59"/>
      <c r="AF675" s="59"/>
      <c r="AG675" s="59"/>
      <c r="AH675" s="59"/>
      <c r="AI675" s="59"/>
    </row>
    <row r="676" spans="1:35" ht="12.5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  <c r="AA676" s="59"/>
      <c r="AB676" s="59"/>
      <c r="AC676" s="59"/>
      <c r="AD676" s="59"/>
      <c r="AE676" s="59"/>
      <c r="AF676" s="59"/>
      <c r="AG676" s="59"/>
      <c r="AH676" s="59"/>
      <c r="AI676" s="59"/>
    </row>
    <row r="677" spans="1:35" ht="12.5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  <c r="AA677" s="59"/>
      <c r="AB677" s="59"/>
      <c r="AC677" s="59"/>
      <c r="AD677" s="59"/>
      <c r="AE677" s="59"/>
      <c r="AF677" s="59"/>
      <c r="AG677" s="59"/>
      <c r="AH677" s="59"/>
      <c r="AI677" s="59"/>
    </row>
    <row r="678" spans="1:35" ht="12.5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  <c r="AA678" s="59"/>
      <c r="AB678" s="59"/>
      <c r="AC678" s="59"/>
      <c r="AD678" s="59"/>
      <c r="AE678" s="59"/>
      <c r="AF678" s="59"/>
      <c r="AG678" s="59"/>
      <c r="AH678" s="59"/>
      <c r="AI678" s="59"/>
    </row>
    <row r="679" spans="1:35" ht="12.5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  <c r="AA679" s="59"/>
      <c r="AB679" s="59"/>
      <c r="AC679" s="59"/>
      <c r="AD679" s="59"/>
      <c r="AE679" s="59"/>
      <c r="AF679" s="59"/>
      <c r="AG679" s="59"/>
      <c r="AH679" s="59"/>
      <c r="AI679" s="59"/>
    </row>
    <row r="680" spans="1:35" ht="12.5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  <c r="AA680" s="59"/>
      <c r="AB680" s="59"/>
      <c r="AC680" s="59"/>
      <c r="AD680" s="59"/>
      <c r="AE680" s="59"/>
      <c r="AF680" s="59"/>
      <c r="AG680" s="59"/>
      <c r="AH680" s="59"/>
      <c r="AI680" s="59"/>
    </row>
    <row r="681" spans="1:35" ht="12.5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  <c r="AA681" s="59"/>
      <c r="AB681" s="59"/>
      <c r="AC681" s="59"/>
      <c r="AD681" s="59"/>
      <c r="AE681" s="59"/>
      <c r="AF681" s="59"/>
      <c r="AG681" s="59"/>
      <c r="AH681" s="59"/>
      <c r="AI681" s="59"/>
    </row>
    <row r="682" spans="1:35" ht="12.5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  <c r="AA682" s="59"/>
      <c r="AB682" s="59"/>
      <c r="AC682" s="59"/>
      <c r="AD682" s="59"/>
      <c r="AE682" s="59"/>
      <c r="AF682" s="59"/>
      <c r="AG682" s="59"/>
      <c r="AH682" s="59"/>
      <c r="AI682" s="59"/>
    </row>
    <row r="683" spans="1:35" ht="12.5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  <c r="AA683" s="59"/>
      <c r="AB683" s="59"/>
      <c r="AC683" s="59"/>
      <c r="AD683" s="59"/>
      <c r="AE683" s="59"/>
      <c r="AF683" s="59"/>
      <c r="AG683" s="59"/>
      <c r="AH683" s="59"/>
      <c r="AI683" s="59"/>
    </row>
    <row r="684" spans="1:35" ht="12.5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  <c r="AA684" s="59"/>
      <c r="AB684" s="59"/>
      <c r="AC684" s="59"/>
      <c r="AD684" s="59"/>
      <c r="AE684" s="59"/>
      <c r="AF684" s="59"/>
      <c r="AG684" s="59"/>
      <c r="AH684" s="59"/>
      <c r="AI684" s="59"/>
    </row>
    <row r="685" spans="1:35" ht="12.5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  <c r="AA685" s="59"/>
      <c r="AB685" s="59"/>
      <c r="AC685" s="59"/>
      <c r="AD685" s="59"/>
      <c r="AE685" s="59"/>
      <c r="AF685" s="59"/>
      <c r="AG685" s="59"/>
      <c r="AH685" s="59"/>
      <c r="AI685" s="59"/>
    </row>
    <row r="686" spans="1:35" ht="12.5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  <c r="AA686" s="59"/>
      <c r="AB686" s="59"/>
      <c r="AC686" s="59"/>
      <c r="AD686" s="59"/>
      <c r="AE686" s="59"/>
      <c r="AF686" s="59"/>
      <c r="AG686" s="59"/>
      <c r="AH686" s="59"/>
      <c r="AI686" s="59"/>
    </row>
    <row r="687" spans="1:35" ht="12.5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  <c r="AA687" s="59"/>
      <c r="AB687" s="59"/>
      <c r="AC687" s="59"/>
      <c r="AD687" s="59"/>
      <c r="AE687" s="59"/>
      <c r="AF687" s="59"/>
      <c r="AG687" s="59"/>
      <c r="AH687" s="59"/>
      <c r="AI687" s="59"/>
    </row>
    <row r="688" spans="1:35" ht="12.5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  <c r="AA688" s="59"/>
      <c r="AB688" s="59"/>
      <c r="AC688" s="59"/>
      <c r="AD688" s="59"/>
      <c r="AE688" s="59"/>
      <c r="AF688" s="59"/>
      <c r="AG688" s="59"/>
      <c r="AH688" s="59"/>
      <c r="AI688" s="59"/>
    </row>
    <row r="689" spans="1:35" ht="12.5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  <c r="AA689" s="59"/>
      <c r="AB689" s="59"/>
      <c r="AC689" s="59"/>
      <c r="AD689" s="59"/>
      <c r="AE689" s="59"/>
      <c r="AF689" s="59"/>
      <c r="AG689" s="59"/>
      <c r="AH689" s="59"/>
      <c r="AI689" s="59"/>
    </row>
    <row r="690" spans="1:35" ht="12.5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  <c r="AA690" s="59"/>
      <c r="AB690" s="59"/>
      <c r="AC690" s="59"/>
      <c r="AD690" s="59"/>
      <c r="AE690" s="59"/>
      <c r="AF690" s="59"/>
      <c r="AG690" s="59"/>
      <c r="AH690" s="59"/>
      <c r="AI690" s="59"/>
    </row>
    <row r="691" spans="1:35" ht="12.5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  <c r="AA691" s="59"/>
      <c r="AB691" s="59"/>
      <c r="AC691" s="59"/>
      <c r="AD691" s="59"/>
      <c r="AE691" s="59"/>
      <c r="AF691" s="59"/>
      <c r="AG691" s="59"/>
      <c r="AH691" s="59"/>
      <c r="AI691" s="59"/>
    </row>
    <row r="692" spans="1:35" ht="12.5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  <c r="AA692" s="59"/>
      <c r="AB692" s="59"/>
      <c r="AC692" s="59"/>
      <c r="AD692" s="59"/>
      <c r="AE692" s="59"/>
      <c r="AF692" s="59"/>
      <c r="AG692" s="59"/>
      <c r="AH692" s="59"/>
      <c r="AI692" s="59"/>
    </row>
    <row r="693" spans="1:35" ht="12.5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  <c r="AA693" s="59"/>
      <c r="AB693" s="59"/>
      <c r="AC693" s="59"/>
      <c r="AD693" s="59"/>
      <c r="AE693" s="59"/>
      <c r="AF693" s="59"/>
      <c r="AG693" s="59"/>
      <c r="AH693" s="59"/>
      <c r="AI693" s="59"/>
    </row>
    <row r="694" spans="1:35" ht="12.5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  <c r="AA694" s="59"/>
      <c r="AB694" s="59"/>
      <c r="AC694" s="59"/>
      <c r="AD694" s="59"/>
      <c r="AE694" s="59"/>
      <c r="AF694" s="59"/>
      <c r="AG694" s="59"/>
      <c r="AH694" s="59"/>
      <c r="AI694" s="59"/>
    </row>
    <row r="695" spans="1:35" ht="12.5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  <c r="AA695" s="59"/>
      <c r="AB695" s="59"/>
      <c r="AC695" s="59"/>
      <c r="AD695" s="59"/>
      <c r="AE695" s="59"/>
      <c r="AF695" s="59"/>
      <c r="AG695" s="59"/>
      <c r="AH695" s="59"/>
      <c r="AI695" s="59"/>
    </row>
    <row r="696" spans="1:35" ht="12.5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  <c r="AA696" s="59"/>
      <c r="AB696" s="59"/>
      <c r="AC696" s="59"/>
      <c r="AD696" s="59"/>
      <c r="AE696" s="59"/>
      <c r="AF696" s="59"/>
      <c r="AG696" s="59"/>
      <c r="AH696" s="59"/>
      <c r="AI696" s="59"/>
    </row>
    <row r="697" spans="1:35" ht="12.5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  <c r="AA697" s="59"/>
      <c r="AB697" s="59"/>
      <c r="AC697" s="59"/>
      <c r="AD697" s="59"/>
      <c r="AE697" s="59"/>
      <c r="AF697" s="59"/>
      <c r="AG697" s="59"/>
      <c r="AH697" s="59"/>
      <c r="AI697" s="59"/>
    </row>
    <row r="698" spans="1:35" ht="12.5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  <c r="AA698" s="59"/>
      <c r="AB698" s="59"/>
      <c r="AC698" s="59"/>
      <c r="AD698" s="59"/>
      <c r="AE698" s="59"/>
      <c r="AF698" s="59"/>
      <c r="AG698" s="59"/>
      <c r="AH698" s="59"/>
      <c r="AI698" s="59"/>
    </row>
    <row r="699" spans="1:35" ht="12.5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  <c r="AA699" s="59"/>
      <c r="AB699" s="59"/>
      <c r="AC699" s="59"/>
      <c r="AD699" s="59"/>
      <c r="AE699" s="59"/>
      <c r="AF699" s="59"/>
      <c r="AG699" s="59"/>
      <c r="AH699" s="59"/>
      <c r="AI699" s="59"/>
    </row>
    <row r="700" spans="1:35" ht="12.5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  <c r="AA700" s="59"/>
      <c r="AB700" s="59"/>
      <c r="AC700" s="59"/>
      <c r="AD700" s="59"/>
      <c r="AE700" s="59"/>
      <c r="AF700" s="59"/>
      <c r="AG700" s="59"/>
      <c r="AH700" s="59"/>
      <c r="AI700" s="59"/>
    </row>
    <row r="701" spans="1:35" ht="12.5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  <c r="AA701" s="59"/>
      <c r="AB701" s="59"/>
      <c r="AC701" s="59"/>
      <c r="AD701" s="59"/>
      <c r="AE701" s="59"/>
      <c r="AF701" s="59"/>
      <c r="AG701" s="59"/>
      <c r="AH701" s="59"/>
      <c r="AI701" s="59"/>
    </row>
    <row r="702" spans="1:35" ht="12.5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  <c r="AA702" s="59"/>
      <c r="AB702" s="59"/>
      <c r="AC702" s="59"/>
      <c r="AD702" s="59"/>
      <c r="AE702" s="59"/>
      <c r="AF702" s="59"/>
      <c r="AG702" s="59"/>
      <c r="AH702" s="59"/>
      <c r="AI702" s="59"/>
    </row>
    <row r="703" spans="1:35" ht="12.5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  <c r="AA703" s="59"/>
      <c r="AB703" s="59"/>
      <c r="AC703" s="59"/>
      <c r="AD703" s="59"/>
      <c r="AE703" s="59"/>
      <c r="AF703" s="59"/>
      <c r="AG703" s="59"/>
      <c r="AH703" s="59"/>
      <c r="AI703" s="59"/>
    </row>
    <row r="704" spans="1:35" ht="12.5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  <c r="AA704" s="59"/>
      <c r="AB704" s="59"/>
      <c r="AC704" s="59"/>
      <c r="AD704" s="59"/>
      <c r="AE704" s="59"/>
      <c r="AF704" s="59"/>
      <c r="AG704" s="59"/>
      <c r="AH704" s="59"/>
      <c r="AI704" s="59"/>
    </row>
    <row r="705" spans="1:35" ht="12.5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  <c r="AA705" s="59"/>
      <c r="AB705" s="59"/>
      <c r="AC705" s="59"/>
      <c r="AD705" s="59"/>
      <c r="AE705" s="59"/>
      <c r="AF705" s="59"/>
      <c r="AG705" s="59"/>
      <c r="AH705" s="59"/>
      <c r="AI705" s="59"/>
    </row>
    <row r="706" spans="1:35" ht="12.5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  <c r="AA706" s="59"/>
      <c r="AB706" s="59"/>
      <c r="AC706" s="59"/>
      <c r="AD706" s="59"/>
      <c r="AE706" s="59"/>
      <c r="AF706" s="59"/>
      <c r="AG706" s="59"/>
      <c r="AH706" s="59"/>
      <c r="AI706" s="59"/>
    </row>
    <row r="707" spans="1:35" ht="12.5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  <c r="AA707" s="59"/>
      <c r="AB707" s="59"/>
      <c r="AC707" s="59"/>
      <c r="AD707" s="59"/>
      <c r="AE707" s="59"/>
      <c r="AF707" s="59"/>
      <c r="AG707" s="59"/>
      <c r="AH707" s="59"/>
      <c r="AI707" s="59"/>
    </row>
    <row r="708" spans="1:35" ht="12.5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  <c r="AA708" s="59"/>
      <c r="AB708" s="59"/>
      <c r="AC708" s="59"/>
      <c r="AD708" s="59"/>
      <c r="AE708" s="59"/>
      <c r="AF708" s="59"/>
      <c r="AG708" s="59"/>
      <c r="AH708" s="59"/>
      <c r="AI708" s="59"/>
    </row>
    <row r="709" spans="1:35" ht="12.5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  <c r="AA709" s="59"/>
      <c r="AB709" s="59"/>
      <c r="AC709" s="59"/>
      <c r="AD709" s="59"/>
      <c r="AE709" s="59"/>
      <c r="AF709" s="59"/>
      <c r="AG709" s="59"/>
      <c r="AH709" s="59"/>
      <c r="AI709" s="59"/>
    </row>
    <row r="710" spans="1:35" ht="12.5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  <c r="AA710" s="59"/>
      <c r="AB710" s="59"/>
      <c r="AC710" s="59"/>
      <c r="AD710" s="59"/>
      <c r="AE710" s="59"/>
      <c r="AF710" s="59"/>
      <c r="AG710" s="59"/>
      <c r="AH710" s="59"/>
      <c r="AI710" s="59"/>
    </row>
    <row r="711" spans="1:35" ht="12.5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  <c r="AA711" s="59"/>
      <c r="AB711" s="59"/>
      <c r="AC711" s="59"/>
      <c r="AD711" s="59"/>
      <c r="AE711" s="59"/>
      <c r="AF711" s="59"/>
      <c r="AG711" s="59"/>
      <c r="AH711" s="59"/>
      <c r="AI711" s="59"/>
    </row>
    <row r="712" spans="1:35" ht="12.5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  <c r="AA712" s="59"/>
      <c r="AB712" s="59"/>
      <c r="AC712" s="59"/>
      <c r="AD712" s="59"/>
      <c r="AE712" s="59"/>
      <c r="AF712" s="59"/>
      <c r="AG712" s="59"/>
      <c r="AH712" s="59"/>
      <c r="AI712" s="59"/>
    </row>
    <row r="713" spans="1:35" ht="12.5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  <c r="AA713" s="59"/>
      <c r="AB713" s="59"/>
      <c r="AC713" s="59"/>
      <c r="AD713" s="59"/>
      <c r="AE713" s="59"/>
      <c r="AF713" s="59"/>
      <c r="AG713" s="59"/>
      <c r="AH713" s="59"/>
      <c r="AI713" s="59"/>
    </row>
    <row r="714" spans="1:35" ht="12.5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  <c r="AA714" s="59"/>
      <c r="AB714" s="59"/>
      <c r="AC714" s="59"/>
      <c r="AD714" s="59"/>
      <c r="AE714" s="59"/>
      <c r="AF714" s="59"/>
      <c r="AG714" s="59"/>
      <c r="AH714" s="59"/>
      <c r="AI714" s="59"/>
    </row>
    <row r="715" spans="1:35" ht="12.5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  <c r="AA715" s="59"/>
      <c r="AB715" s="59"/>
      <c r="AC715" s="59"/>
      <c r="AD715" s="59"/>
      <c r="AE715" s="59"/>
      <c r="AF715" s="59"/>
      <c r="AG715" s="59"/>
      <c r="AH715" s="59"/>
      <c r="AI715" s="59"/>
    </row>
    <row r="716" spans="1:35" ht="12.5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  <c r="AA716" s="59"/>
      <c r="AB716" s="59"/>
      <c r="AC716" s="59"/>
      <c r="AD716" s="59"/>
      <c r="AE716" s="59"/>
      <c r="AF716" s="59"/>
      <c r="AG716" s="59"/>
      <c r="AH716" s="59"/>
      <c r="AI716" s="59"/>
    </row>
    <row r="717" spans="1:35" ht="12.5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  <c r="AA717" s="59"/>
      <c r="AB717" s="59"/>
      <c r="AC717" s="59"/>
      <c r="AD717" s="59"/>
      <c r="AE717" s="59"/>
      <c r="AF717" s="59"/>
      <c r="AG717" s="59"/>
      <c r="AH717" s="59"/>
      <c r="AI717" s="59"/>
    </row>
    <row r="718" spans="1:35" ht="12.5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  <c r="AA718" s="59"/>
      <c r="AB718" s="59"/>
      <c r="AC718" s="59"/>
      <c r="AD718" s="59"/>
      <c r="AE718" s="59"/>
      <c r="AF718" s="59"/>
      <c r="AG718" s="59"/>
      <c r="AH718" s="59"/>
      <c r="AI718" s="59"/>
    </row>
    <row r="719" spans="1:35" ht="12.5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  <c r="AA719" s="59"/>
      <c r="AB719" s="59"/>
      <c r="AC719" s="59"/>
      <c r="AD719" s="59"/>
      <c r="AE719" s="59"/>
      <c r="AF719" s="59"/>
      <c r="AG719" s="59"/>
      <c r="AH719" s="59"/>
      <c r="AI719" s="59"/>
    </row>
    <row r="720" spans="1:35" ht="12.5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  <c r="AA720" s="59"/>
      <c r="AB720" s="59"/>
      <c r="AC720" s="59"/>
      <c r="AD720" s="59"/>
      <c r="AE720" s="59"/>
      <c r="AF720" s="59"/>
      <c r="AG720" s="59"/>
      <c r="AH720" s="59"/>
      <c r="AI720" s="59"/>
    </row>
    <row r="721" spans="1:35" ht="12.5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  <c r="AA721" s="59"/>
      <c r="AB721" s="59"/>
      <c r="AC721" s="59"/>
      <c r="AD721" s="59"/>
      <c r="AE721" s="59"/>
      <c r="AF721" s="59"/>
      <c r="AG721" s="59"/>
      <c r="AH721" s="59"/>
      <c r="AI721" s="59"/>
    </row>
    <row r="722" spans="1:35" ht="12.5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  <c r="AA722" s="59"/>
      <c r="AB722" s="59"/>
      <c r="AC722" s="59"/>
      <c r="AD722" s="59"/>
      <c r="AE722" s="59"/>
      <c r="AF722" s="59"/>
      <c r="AG722" s="59"/>
      <c r="AH722" s="59"/>
      <c r="AI722" s="59"/>
    </row>
    <row r="723" spans="1:35" ht="12.5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  <c r="AA723" s="59"/>
      <c r="AB723" s="59"/>
      <c r="AC723" s="59"/>
      <c r="AD723" s="59"/>
      <c r="AE723" s="59"/>
      <c r="AF723" s="59"/>
      <c r="AG723" s="59"/>
      <c r="AH723" s="59"/>
      <c r="AI723" s="59"/>
    </row>
    <row r="724" spans="1:35" ht="12.5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  <c r="AA724" s="59"/>
      <c r="AB724" s="59"/>
      <c r="AC724" s="59"/>
      <c r="AD724" s="59"/>
      <c r="AE724" s="59"/>
      <c r="AF724" s="59"/>
      <c r="AG724" s="59"/>
      <c r="AH724" s="59"/>
      <c r="AI724" s="59"/>
    </row>
    <row r="725" spans="1:35" ht="12.5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  <c r="AA725" s="59"/>
      <c r="AB725" s="59"/>
      <c r="AC725" s="59"/>
      <c r="AD725" s="59"/>
      <c r="AE725" s="59"/>
      <c r="AF725" s="59"/>
      <c r="AG725" s="59"/>
      <c r="AH725" s="59"/>
      <c r="AI725" s="59"/>
    </row>
    <row r="726" spans="1:35" ht="12.5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  <c r="AA726" s="59"/>
      <c r="AB726" s="59"/>
      <c r="AC726" s="59"/>
      <c r="AD726" s="59"/>
      <c r="AE726" s="59"/>
      <c r="AF726" s="59"/>
      <c r="AG726" s="59"/>
      <c r="AH726" s="59"/>
      <c r="AI726" s="59"/>
    </row>
    <row r="727" spans="1:35" ht="12.5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  <c r="AA727" s="59"/>
      <c r="AB727" s="59"/>
      <c r="AC727" s="59"/>
      <c r="AD727" s="59"/>
      <c r="AE727" s="59"/>
      <c r="AF727" s="59"/>
      <c r="AG727" s="59"/>
      <c r="AH727" s="59"/>
      <c r="AI727" s="59"/>
    </row>
    <row r="728" spans="1:35" ht="12.5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  <c r="AA728" s="59"/>
      <c r="AB728" s="59"/>
      <c r="AC728" s="59"/>
      <c r="AD728" s="59"/>
      <c r="AE728" s="59"/>
      <c r="AF728" s="59"/>
      <c r="AG728" s="59"/>
      <c r="AH728" s="59"/>
      <c r="AI728" s="59"/>
    </row>
    <row r="729" spans="1:35" ht="12.5">
      <c r="A729" s="59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  <c r="AA729" s="59"/>
      <c r="AB729" s="59"/>
      <c r="AC729" s="59"/>
      <c r="AD729" s="59"/>
      <c r="AE729" s="59"/>
      <c r="AF729" s="59"/>
      <c r="AG729" s="59"/>
      <c r="AH729" s="59"/>
      <c r="AI729" s="59"/>
    </row>
    <row r="730" spans="1:35" ht="12.5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  <c r="AA730" s="59"/>
      <c r="AB730" s="59"/>
      <c r="AC730" s="59"/>
      <c r="AD730" s="59"/>
      <c r="AE730" s="59"/>
      <c r="AF730" s="59"/>
      <c r="AG730" s="59"/>
      <c r="AH730" s="59"/>
      <c r="AI730" s="59"/>
    </row>
    <row r="731" spans="1:35" ht="12.5">
      <c r="A731" s="59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  <c r="AA731" s="59"/>
      <c r="AB731" s="59"/>
      <c r="AC731" s="59"/>
      <c r="AD731" s="59"/>
      <c r="AE731" s="59"/>
      <c r="AF731" s="59"/>
      <c r="AG731" s="59"/>
      <c r="AH731" s="59"/>
      <c r="AI731" s="59"/>
    </row>
    <row r="732" spans="1:35" ht="12.5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  <c r="AA732" s="59"/>
      <c r="AB732" s="59"/>
      <c r="AC732" s="59"/>
      <c r="AD732" s="59"/>
      <c r="AE732" s="59"/>
      <c r="AF732" s="59"/>
      <c r="AG732" s="59"/>
      <c r="AH732" s="59"/>
      <c r="AI732" s="59"/>
    </row>
    <row r="733" spans="1:35" ht="12.5">
      <c r="A733" s="59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  <c r="AA733" s="59"/>
      <c r="AB733" s="59"/>
      <c r="AC733" s="59"/>
      <c r="AD733" s="59"/>
      <c r="AE733" s="59"/>
      <c r="AF733" s="59"/>
      <c r="AG733" s="59"/>
      <c r="AH733" s="59"/>
      <c r="AI733" s="59"/>
    </row>
    <row r="734" spans="1:35" ht="12.5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  <c r="AA734" s="59"/>
      <c r="AB734" s="59"/>
      <c r="AC734" s="59"/>
      <c r="AD734" s="59"/>
      <c r="AE734" s="59"/>
      <c r="AF734" s="59"/>
      <c r="AG734" s="59"/>
      <c r="AH734" s="59"/>
      <c r="AI734" s="59"/>
    </row>
    <row r="735" spans="1:35" ht="12.5">
      <c r="A735" s="59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  <c r="AA735" s="59"/>
      <c r="AB735" s="59"/>
      <c r="AC735" s="59"/>
      <c r="AD735" s="59"/>
      <c r="AE735" s="59"/>
      <c r="AF735" s="59"/>
      <c r="AG735" s="59"/>
      <c r="AH735" s="59"/>
      <c r="AI735" s="59"/>
    </row>
    <row r="736" spans="1:35" ht="12.5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  <c r="AA736" s="59"/>
      <c r="AB736" s="59"/>
      <c r="AC736" s="59"/>
      <c r="AD736" s="59"/>
      <c r="AE736" s="59"/>
      <c r="AF736" s="59"/>
      <c r="AG736" s="59"/>
      <c r="AH736" s="59"/>
      <c r="AI736" s="59"/>
    </row>
    <row r="737" spans="1:35" ht="12.5">
      <c r="A737" s="59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  <c r="AA737" s="59"/>
      <c r="AB737" s="59"/>
      <c r="AC737" s="59"/>
      <c r="AD737" s="59"/>
      <c r="AE737" s="59"/>
      <c r="AF737" s="59"/>
      <c r="AG737" s="59"/>
      <c r="AH737" s="59"/>
      <c r="AI737" s="59"/>
    </row>
    <row r="738" spans="1:35" ht="12.5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  <c r="AA738" s="59"/>
      <c r="AB738" s="59"/>
      <c r="AC738" s="59"/>
      <c r="AD738" s="59"/>
      <c r="AE738" s="59"/>
      <c r="AF738" s="59"/>
      <c r="AG738" s="59"/>
      <c r="AH738" s="59"/>
      <c r="AI738" s="59"/>
    </row>
    <row r="739" spans="1:35" ht="12.5">
      <c r="A739" s="59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  <c r="AA739" s="59"/>
      <c r="AB739" s="59"/>
      <c r="AC739" s="59"/>
      <c r="AD739" s="59"/>
      <c r="AE739" s="59"/>
      <c r="AF739" s="59"/>
      <c r="AG739" s="59"/>
      <c r="AH739" s="59"/>
      <c r="AI739" s="59"/>
    </row>
    <row r="740" spans="1:35" ht="12.5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  <c r="AA740" s="59"/>
      <c r="AB740" s="59"/>
      <c r="AC740" s="59"/>
      <c r="AD740" s="59"/>
      <c r="AE740" s="59"/>
      <c r="AF740" s="59"/>
      <c r="AG740" s="59"/>
      <c r="AH740" s="59"/>
      <c r="AI740" s="59"/>
    </row>
    <row r="741" spans="1:35" ht="12.5">
      <c r="A741" s="59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  <c r="AA741" s="59"/>
      <c r="AB741" s="59"/>
      <c r="AC741" s="59"/>
      <c r="AD741" s="59"/>
      <c r="AE741" s="59"/>
      <c r="AF741" s="59"/>
      <c r="AG741" s="59"/>
      <c r="AH741" s="59"/>
      <c r="AI741" s="59"/>
    </row>
    <row r="742" spans="1:35" ht="12.5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  <c r="AA742" s="59"/>
      <c r="AB742" s="59"/>
      <c r="AC742" s="59"/>
      <c r="AD742" s="59"/>
      <c r="AE742" s="59"/>
      <c r="AF742" s="59"/>
      <c r="AG742" s="59"/>
      <c r="AH742" s="59"/>
      <c r="AI742" s="59"/>
    </row>
    <row r="743" spans="1:35" ht="12.5">
      <c r="A743" s="59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  <c r="AA743" s="59"/>
      <c r="AB743" s="59"/>
      <c r="AC743" s="59"/>
      <c r="AD743" s="59"/>
      <c r="AE743" s="59"/>
      <c r="AF743" s="59"/>
      <c r="AG743" s="59"/>
      <c r="AH743" s="59"/>
      <c r="AI743" s="59"/>
    </row>
    <row r="744" spans="1:35" ht="12.5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  <c r="AA744" s="59"/>
      <c r="AB744" s="59"/>
      <c r="AC744" s="59"/>
      <c r="AD744" s="59"/>
      <c r="AE744" s="59"/>
      <c r="AF744" s="59"/>
      <c r="AG744" s="59"/>
      <c r="AH744" s="59"/>
      <c r="AI744" s="59"/>
    </row>
    <row r="745" spans="1:35" ht="12.5">
      <c r="A745" s="59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  <c r="AA745" s="59"/>
      <c r="AB745" s="59"/>
      <c r="AC745" s="59"/>
      <c r="AD745" s="59"/>
      <c r="AE745" s="59"/>
      <c r="AF745" s="59"/>
      <c r="AG745" s="59"/>
      <c r="AH745" s="59"/>
      <c r="AI745" s="59"/>
    </row>
    <row r="746" spans="1:35" ht="12.5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  <c r="AA746" s="59"/>
      <c r="AB746" s="59"/>
      <c r="AC746" s="59"/>
      <c r="AD746" s="59"/>
      <c r="AE746" s="59"/>
      <c r="AF746" s="59"/>
      <c r="AG746" s="59"/>
      <c r="AH746" s="59"/>
      <c r="AI746" s="59"/>
    </row>
    <row r="747" spans="1:35" ht="12.5">
      <c r="A747" s="59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  <c r="AA747" s="59"/>
      <c r="AB747" s="59"/>
      <c r="AC747" s="59"/>
      <c r="AD747" s="59"/>
      <c r="AE747" s="59"/>
      <c r="AF747" s="59"/>
      <c r="AG747" s="59"/>
      <c r="AH747" s="59"/>
      <c r="AI747" s="59"/>
    </row>
    <row r="748" spans="1:35" ht="12.5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  <c r="AA748" s="59"/>
      <c r="AB748" s="59"/>
      <c r="AC748" s="59"/>
      <c r="AD748" s="59"/>
      <c r="AE748" s="59"/>
      <c r="AF748" s="59"/>
      <c r="AG748" s="59"/>
      <c r="AH748" s="59"/>
      <c r="AI748" s="59"/>
    </row>
    <row r="749" spans="1:35" ht="12.5">
      <c r="A749" s="59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  <c r="AA749" s="59"/>
      <c r="AB749" s="59"/>
      <c r="AC749" s="59"/>
      <c r="AD749" s="59"/>
      <c r="AE749" s="59"/>
      <c r="AF749" s="59"/>
      <c r="AG749" s="59"/>
      <c r="AH749" s="59"/>
      <c r="AI749" s="59"/>
    </row>
    <row r="750" spans="1:35" ht="12.5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  <c r="AA750" s="59"/>
      <c r="AB750" s="59"/>
      <c r="AC750" s="59"/>
      <c r="AD750" s="59"/>
      <c r="AE750" s="59"/>
      <c r="AF750" s="59"/>
      <c r="AG750" s="59"/>
      <c r="AH750" s="59"/>
      <c r="AI750" s="59"/>
    </row>
    <row r="751" spans="1:35" ht="12.5">
      <c r="A751" s="59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  <c r="AA751" s="59"/>
      <c r="AB751" s="59"/>
      <c r="AC751" s="59"/>
      <c r="AD751" s="59"/>
      <c r="AE751" s="59"/>
      <c r="AF751" s="59"/>
      <c r="AG751" s="59"/>
      <c r="AH751" s="59"/>
      <c r="AI751" s="59"/>
    </row>
    <row r="752" spans="1:35" ht="12.5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  <c r="AA752" s="59"/>
      <c r="AB752" s="59"/>
      <c r="AC752" s="59"/>
      <c r="AD752" s="59"/>
      <c r="AE752" s="59"/>
      <c r="AF752" s="59"/>
      <c r="AG752" s="59"/>
      <c r="AH752" s="59"/>
      <c r="AI752" s="59"/>
    </row>
    <row r="753" spans="1:35" ht="12.5">
      <c r="A753" s="59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  <c r="AA753" s="59"/>
      <c r="AB753" s="59"/>
      <c r="AC753" s="59"/>
      <c r="AD753" s="59"/>
      <c r="AE753" s="59"/>
      <c r="AF753" s="59"/>
      <c r="AG753" s="59"/>
      <c r="AH753" s="59"/>
      <c r="AI753" s="59"/>
    </row>
    <row r="754" spans="1:35" ht="12.5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  <c r="AA754" s="59"/>
      <c r="AB754" s="59"/>
      <c r="AC754" s="59"/>
      <c r="AD754" s="59"/>
      <c r="AE754" s="59"/>
      <c r="AF754" s="59"/>
      <c r="AG754" s="59"/>
      <c r="AH754" s="59"/>
      <c r="AI754" s="59"/>
    </row>
    <row r="755" spans="1:35" ht="12.5">
      <c r="A755" s="59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  <c r="AA755" s="59"/>
      <c r="AB755" s="59"/>
      <c r="AC755" s="59"/>
      <c r="AD755" s="59"/>
      <c r="AE755" s="59"/>
      <c r="AF755" s="59"/>
      <c r="AG755" s="59"/>
      <c r="AH755" s="59"/>
      <c r="AI755" s="59"/>
    </row>
    <row r="756" spans="1:35" ht="12.5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  <c r="AA756" s="59"/>
      <c r="AB756" s="59"/>
      <c r="AC756" s="59"/>
      <c r="AD756" s="59"/>
      <c r="AE756" s="59"/>
      <c r="AF756" s="59"/>
      <c r="AG756" s="59"/>
      <c r="AH756" s="59"/>
      <c r="AI756" s="59"/>
    </row>
    <row r="757" spans="1:35" ht="12.5">
      <c r="A757" s="59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  <c r="AA757" s="59"/>
      <c r="AB757" s="59"/>
      <c r="AC757" s="59"/>
      <c r="AD757" s="59"/>
      <c r="AE757" s="59"/>
      <c r="AF757" s="59"/>
      <c r="AG757" s="59"/>
      <c r="AH757" s="59"/>
      <c r="AI757" s="59"/>
    </row>
    <row r="758" spans="1:35" ht="12.5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  <c r="AA758" s="59"/>
      <c r="AB758" s="59"/>
      <c r="AC758" s="59"/>
      <c r="AD758" s="59"/>
      <c r="AE758" s="59"/>
      <c r="AF758" s="59"/>
      <c r="AG758" s="59"/>
      <c r="AH758" s="59"/>
      <c r="AI758" s="59"/>
    </row>
    <row r="759" spans="1:35" ht="12.5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  <c r="AA759" s="59"/>
      <c r="AB759" s="59"/>
      <c r="AC759" s="59"/>
      <c r="AD759" s="59"/>
      <c r="AE759" s="59"/>
      <c r="AF759" s="59"/>
      <c r="AG759" s="59"/>
      <c r="AH759" s="59"/>
      <c r="AI759" s="59"/>
    </row>
    <row r="760" spans="1:35" ht="12.5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  <c r="AA760" s="59"/>
      <c r="AB760" s="59"/>
      <c r="AC760" s="59"/>
      <c r="AD760" s="59"/>
      <c r="AE760" s="59"/>
      <c r="AF760" s="59"/>
      <c r="AG760" s="59"/>
      <c r="AH760" s="59"/>
      <c r="AI760" s="59"/>
    </row>
    <row r="761" spans="1:35" ht="12.5">
      <c r="A761" s="59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  <c r="AA761" s="59"/>
      <c r="AB761" s="59"/>
      <c r="AC761" s="59"/>
      <c r="AD761" s="59"/>
      <c r="AE761" s="59"/>
      <c r="AF761" s="59"/>
      <c r="AG761" s="59"/>
      <c r="AH761" s="59"/>
      <c r="AI761" s="59"/>
    </row>
    <row r="762" spans="1:35" ht="12.5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  <c r="AA762" s="59"/>
      <c r="AB762" s="59"/>
      <c r="AC762" s="59"/>
      <c r="AD762" s="59"/>
      <c r="AE762" s="59"/>
      <c r="AF762" s="59"/>
      <c r="AG762" s="59"/>
      <c r="AH762" s="59"/>
      <c r="AI762" s="59"/>
    </row>
    <row r="763" spans="1:35" ht="12.5">
      <c r="A763" s="59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  <c r="AA763" s="59"/>
      <c r="AB763" s="59"/>
      <c r="AC763" s="59"/>
      <c r="AD763" s="59"/>
      <c r="AE763" s="59"/>
      <c r="AF763" s="59"/>
      <c r="AG763" s="59"/>
      <c r="AH763" s="59"/>
      <c r="AI763" s="59"/>
    </row>
    <row r="764" spans="1:35" ht="12.5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  <c r="AA764" s="59"/>
      <c r="AB764" s="59"/>
      <c r="AC764" s="59"/>
      <c r="AD764" s="59"/>
      <c r="AE764" s="59"/>
      <c r="AF764" s="59"/>
      <c r="AG764" s="59"/>
      <c r="AH764" s="59"/>
      <c r="AI764" s="59"/>
    </row>
    <row r="765" spans="1:35" ht="12.5">
      <c r="A765" s="59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  <c r="AA765" s="59"/>
      <c r="AB765" s="59"/>
      <c r="AC765" s="59"/>
      <c r="AD765" s="59"/>
      <c r="AE765" s="59"/>
      <c r="AF765" s="59"/>
      <c r="AG765" s="59"/>
      <c r="AH765" s="59"/>
      <c r="AI765" s="59"/>
    </row>
    <row r="766" spans="1:35" ht="12.5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  <c r="AA766" s="59"/>
      <c r="AB766" s="59"/>
      <c r="AC766" s="59"/>
      <c r="AD766" s="59"/>
      <c r="AE766" s="59"/>
      <c r="AF766" s="59"/>
      <c r="AG766" s="59"/>
      <c r="AH766" s="59"/>
      <c r="AI766" s="59"/>
    </row>
    <row r="767" spans="1:35" ht="12.5">
      <c r="A767" s="59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  <c r="AA767" s="59"/>
      <c r="AB767" s="59"/>
      <c r="AC767" s="59"/>
      <c r="AD767" s="59"/>
      <c r="AE767" s="59"/>
      <c r="AF767" s="59"/>
      <c r="AG767" s="59"/>
      <c r="AH767" s="59"/>
      <c r="AI767" s="59"/>
    </row>
    <row r="768" spans="1:35" ht="12.5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  <c r="AA768" s="59"/>
      <c r="AB768" s="59"/>
      <c r="AC768" s="59"/>
      <c r="AD768" s="59"/>
      <c r="AE768" s="59"/>
      <c r="AF768" s="59"/>
      <c r="AG768" s="59"/>
      <c r="AH768" s="59"/>
      <c r="AI768" s="59"/>
    </row>
    <row r="769" spans="1:35" ht="12.5">
      <c r="A769" s="59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  <c r="AA769" s="59"/>
      <c r="AB769" s="59"/>
      <c r="AC769" s="59"/>
      <c r="AD769" s="59"/>
      <c r="AE769" s="59"/>
      <c r="AF769" s="59"/>
      <c r="AG769" s="59"/>
      <c r="AH769" s="59"/>
      <c r="AI769" s="59"/>
    </row>
    <row r="770" spans="1:35" ht="12.5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  <c r="AA770" s="59"/>
      <c r="AB770" s="59"/>
      <c r="AC770" s="59"/>
      <c r="AD770" s="59"/>
      <c r="AE770" s="59"/>
      <c r="AF770" s="59"/>
      <c r="AG770" s="59"/>
      <c r="AH770" s="59"/>
      <c r="AI770" s="59"/>
    </row>
    <row r="771" spans="1:35" ht="12.5">
      <c r="A771" s="59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  <c r="AA771" s="59"/>
      <c r="AB771" s="59"/>
      <c r="AC771" s="59"/>
      <c r="AD771" s="59"/>
      <c r="AE771" s="59"/>
      <c r="AF771" s="59"/>
      <c r="AG771" s="59"/>
      <c r="AH771" s="59"/>
      <c r="AI771" s="59"/>
    </row>
    <row r="772" spans="1:35" ht="12.5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  <c r="AA772" s="59"/>
      <c r="AB772" s="59"/>
      <c r="AC772" s="59"/>
      <c r="AD772" s="59"/>
      <c r="AE772" s="59"/>
      <c r="AF772" s="59"/>
      <c r="AG772" s="59"/>
      <c r="AH772" s="59"/>
      <c r="AI772" s="59"/>
    </row>
    <row r="773" spans="1:35" ht="12.5">
      <c r="A773" s="59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  <c r="AA773" s="59"/>
      <c r="AB773" s="59"/>
      <c r="AC773" s="59"/>
      <c r="AD773" s="59"/>
      <c r="AE773" s="59"/>
      <c r="AF773" s="59"/>
      <c r="AG773" s="59"/>
      <c r="AH773" s="59"/>
      <c r="AI773" s="59"/>
    </row>
    <row r="774" spans="1:35" ht="12.5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  <c r="AA774" s="59"/>
      <c r="AB774" s="59"/>
      <c r="AC774" s="59"/>
      <c r="AD774" s="59"/>
      <c r="AE774" s="59"/>
      <c r="AF774" s="59"/>
      <c r="AG774" s="59"/>
      <c r="AH774" s="59"/>
      <c r="AI774" s="59"/>
    </row>
    <row r="775" spans="1:35" ht="12.5">
      <c r="A775" s="59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  <c r="AA775" s="59"/>
      <c r="AB775" s="59"/>
      <c r="AC775" s="59"/>
      <c r="AD775" s="59"/>
      <c r="AE775" s="59"/>
      <c r="AF775" s="59"/>
      <c r="AG775" s="59"/>
      <c r="AH775" s="59"/>
      <c r="AI775" s="59"/>
    </row>
    <row r="776" spans="1:35" ht="12.5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  <c r="AA776" s="59"/>
      <c r="AB776" s="59"/>
      <c r="AC776" s="59"/>
      <c r="AD776" s="59"/>
      <c r="AE776" s="59"/>
      <c r="AF776" s="59"/>
      <c r="AG776" s="59"/>
      <c r="AH776" s="59"/>
      <c r="AI776" s="59"/>
    </row>
    <row r="777" spans="1:35" ht="12.5">
      <c r="A777" s="59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  <c r="AA777" s="59"/>
      <c r="AB777" s="59"/>
      <c r="AC777" s="59"/>
      <c r="AD777" s="59"/>
      <c r="AE777" s="59"/>
      <c r="AF777" s="59"/>
      <c r="AG777" s="59"/>
      <c r="AH777" s="59"/>
      <c r="AI777" s="59"/>
    </row>
    <row r="778" spans="1:35" ht="12.5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  <c r="AA778" s="59"/>
      <c r="AB778" s="59"/>
      <c r="AC778" s="59"/>
      <c r="AD778" s="59"/>
      <c r="AE778" s="59"/>
      <c r="AF778" s="59"/>
      <c r="AG778" s="59"/>
      <c r="AH778" s="59"/>
      <c r="AI778" s="59"/>
    </row>
    <row r="779" spans="1:35" ht="12.5">
      <c r="A779" s="59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  <c r="AA779" s="59"/>
      <c r="AB779" s="59"/>
      <c r="AC779" s="59"/>
      <c r="AD779" s="59"/>
      <c r="AE779" s="59"/>
      <c r="AF779" s="59"/>
      <c r="AG779" s="59"/>
      <c r="AH779" s="59"/>
      <c r="AI779" s="59"/>
    </row>
    <row r="780" spans="1:35" ht="12.5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  <c r="AA780" s="59"/>
      <c r="AB780" s="59"/>
      <c r="AC780" s="59"/>
      <c r="AD780" s="59"/>
      <c r="AE780" s="59"/>
      <c r="AF780" s="59"/>
      <c r="AG780" s="59"/>
      <c r="AH780" s="59"/>
      <c r="AI780" s="59"/>
    </row>
    <row r="781" spans="1:35" ht="12.5">
      <c r="A781" s="59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  <c r="AA781" s="59"/>
      <c r="AB781" s="59"/>
      <c r="AC781" s="59"/>
      <c r="AD781" s="59"/>
      <c r="AE781" s="59"/>
      <c r="AF781" s="59"/>
      <c r="AG781" s="59"/>
      <c r="AH781" s="59"/>
      <c r="AI781" s="59"/>
    </row>
    <row r="782" spans="1:35" ht="12.5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  <c r="AA782" s="59"/>
      <c r="AB782" s="59"/>
      <c r="AC782" s="59"/>
      <c r="AD782" s="59"/>
      <c r="AE782" s="59"/>
      <c r="AF782" s="59"/>
      <c r="AG782" s="59"/>
      <c r="AH782" s="59"/>
      <c r="AI782" s="59"/>
    </row>
    <row r="783" spans="1:35" ht="12.5">
      <c r="A783" s="59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  <c r="AA783" s="59"/>
      <c r="AB783" s="59"/>
      <c r="AC783" s="59"/>
      <c r="AD783" s="59"/>
      <c r="AE783" s="59"/>
      <c r="AF783" s="59"/>
      <c r="AG783" s="59"/>
      <c r="AH783" s="59"/>
      <c r="AI783" s="59"/>
    </row>
    <row r="784" spans="1:35" ht="12.5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  <c r="AA784" s="59"/>
      <c r="AB784" s="59"/>
      <c r="AC784" s="59"/>
      <c r="AD784" s="59"/>
      <c r="AE784" s="59"/>
      <c r="AF784" s="59"/>
      <c r="AG784" s="59"/>
      <c r="AH784" s="59"/>
      <c r="AI784" s="59"/>
    </row>
    <row r="785" spans="1:35" ht="12.5">
      <c r="A785" s="59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  <c r="AA785" s="59"/>
      <c r="AB785" s="59"/>
      <c r="AC785" s="59"/>
      <c r="AD785" s="59"/>
      <c r="AE785" s="59"/>
      <c r="AF785" s="59"/>
      <c r="AG785" s="59"/>
      <c r="AH785" s="59"/>
      <c r="AI785" s="59"/>
    </row>
    <row r="786" spans="1:35" ht="12.5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  <c r="AA786" s="59"/>
      <c r="AB786" s="59"/>
      <c r="AC786" s="59"/>
      <c r="AD786" s="59"/>
      <c r="AE786" s="59"/>
      <c r="AF786" s="59"/>
      <c r="AG786" s="59"/>
      <c r="AH786" s="59"/>
      <c r="AI786" s="59"/>
    </row>
    <row r="787" spans="1:35" ht="12.5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  <c r="AA787" s="59"/>
      <c r="AB787" s="59"/>
      <c r="AC787" s="59"/>
      <c r="AD787" s="59"/>
      <c r="AE787" s="59"/>
      <c r="AF787" s="59"/>
      <c r="AG787" s="59"/>
      <c r="AH787" s="59"/>
      <c r="AI787" s="59"/>
    </row>
    <row r="788" spans="1:35" ht="12.5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  <c r="AA788" s="59"/>
      <c r="AB788" s="59"/>
      <c r="AC788" s="59"/>
      <c r="AD788" s="59"/>
      <c r="AE788" s="59"/>
      <c r="AF788" s="59"/>
      <c r="AG788" s="59"/>
      <c r="AH788" s="59"/>
      <c r="AI788" s="59"/>
    </row>
    <row r="789" spans="1:35" ht="12.5">
      <c r="A789" s="59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  <c r="AA789" s="59"/>
      <c r="AB789" s="59"/>
      <c r="AC789" s="59"/>
      <c r="AD789" s="59"/>
      <c r="AE789" s="59"/>
      <c r="AF789" s="59"/>
      <c r="AG789" s="59"/>
      <c r="AH789" s="59"/>
      <c r="AI789" s="59"/>
    </row>
    <row r="790" spans="1:35" ht="12.5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  <c r="AA790" s="59"/>
      <c r="AB790" s="59"/>
      <c r="AC790" s="59"/>
      <c r="AD790" s="59"/>
      <c r="AE790" s="59"/>
      <c r="AF790" s="59"/>
      <c r="AG790" s="59"/>
      <c r="AH790" s="59"/>
      <c r="AI790" s="59"/>
    </row>
    <row r="791" spans="1:35" ht="12.5">
      <c r="A791" s="59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  <c r="AA791" s="59"/>
      <c r="AB791" s="59"/>
      <c r="AC791" s="59"/>
      <c r="AD791" s="59"/>
      <c r="AE791" s="59"/>
      <c r="AF791" s="59"/>
      <c r="AG791" s="59"/>
      <c r="AH791" s="59"/>
      <c r="AI791" s="59"/>
    </row>
    <row r="792" spans="1:35" ht="12.5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  <c r="AA792" s="59"/>
      <c r="AB792" s="59"/>
      <c r="AC792" s="59"/>
      <c r="AD792" s="59"/>
      <c r="AE792" s="59"/>
      <c r="AF792" s="59"/>
      <c r="AG792" s="59"/>
      <c r="AH792" s="59"/>
      <c r="AI792" s="59"/>
    </row>
    <row r="793" spans="1:35" ht="12.5">
      <c r="A793" s="59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  <c r="AA793" s="59"/>
      <c r="AB793" s="59"/>
      <c r="AC793" s="59"/>
      <c r="AD793" s="59"/>
      <c r="AE793" s="59"/>
      <c r="AF793" s="59"/>
      <c r="AG793" s="59"/>
      <c r="AH793" s="59"/>
      <c r="AI793" s="59"/>
    </row>
    <row r="794" spans="1:35" ht="12.5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  <c r="AA794" s="59"/>
      <c r="AB794" s="59"/>
      <c r="AC794" s="59"/>
      <c r="AD794" s="59"/>
      <c r="AE794" s="59"/>
      <c r="AF794" s="59"/>
      <c r="AG794" s="59"/>
      <c r="AH794" s="59"/>
      <c r="AI794" s="59"/>
    </row>
    <row r="795" spans="1:35" ht="12.5">
      <c r="A795" s="59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  <c r="AA795" s="59"/>
      <c r="AB795" s="59"/>
      <c r="AC795" s="59"/>
      <c r="AD795" s="59"/>
      <c r="AE795" s="59"/>
      <c r="AF795" s="59"/>
      <c r="AG795" s="59"/>
      <c r="AH795" s="59"/>
      <c r="AI795" s="59"/>
    </row>
    <row r="796" spans="1:35" ht="12.5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  <c r="AA796" s="59"/>
      <c r="AB796" s="59"/>
      <c r="AC796" s="59"/>
      <c r="AD796" s="59"/>
      <c r="AE796" s="59"/>
      <c r="AF796" s="59"/>
      <c r="AG796" s="59"/>
      <c r="AH796" s="59"/>
      <c r="AI796" s="59"/>
    </row>
    <row r="797" spans="1:35" ht="12.5">
      <c r="A797" s="59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  <c r="AA797" s="59"/>
      <c r="AB797" s="59"/>
      <c r="AC797" s="59"/>
      <c r="AD797" s="59"/>
      <c r="AE797" s="59"/>
      <c r="AF797" s="59"/>
      <c r="AG797" s="59"/>
      <c r="AH797" s="59"/>
      <c r="AI797" s="59"/>
    </row>
    <row r="798" spans="1:35" ht="12.5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  <c r="AA798" s="59"/>
      <c r="AB798" s="59"/>
      <c r="AC798" s="59"/>
      <c r="AD798" s="59"/>
      <c r="AE798" s="59"/>
      <c r="AF798" s="59"/>
      <c r="AG798" s="59"/>
      <c r="AH798" s="59"/>
      <c r="AI798" s="59"/>
    </row>
    <row r="799" spans="1:35" ht="12.5">
      <c r="A799" s="59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  <c r="AA799" s="59"/>
      <c r="AB799" s="59"/>
      <c r="AC799" s="59"/>
      <c r="AD799" s="59"/>
      <c r="AE799" s="59"/>
      <c r="AF799" s="59"/>
      <c r="AG799" s="59"/>
      <c r="AH799" s="59"/>
      <c r="AI799" s="59"/>
    </row>
    <row r="800" spans="1:35" ht="12.5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  <c r="AA800" s="59"/>
      <c r="AB800" s="59"/>
      <c r="AC800" s="59"/>
      <c r="AD800" s="59"/>
      <c r="AE800" s="59"/>
      <c r="AF800" s="59"/>
      <c r="AG800" s="59"/>
      <c r="AH800" s="59"/>
      <c r="AI800" s="59"/>
    </row>
    <row r="801" spans="1:35" ht="12.5">
      <c r="A801" s="59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  <c r="AA801" s="59"/>
      <c r="AB801" s="59"/>
      <c r="AC801" s="59"/>
      <c r="AD801" s="59"/>
      <c r="AE801" s="59"/>
      <c r="AF801" s="59"/>
      <c r="AG801" s="59"/>
      <c r="AH801" s="59"/>
      <c r="AI801" s="59"/>
    </row>
    <row r="802" spans="1:35" ht="12.5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  <c r="AA802" s="59"/>
      <c r="AB802" s="59"/>
      <c r="AC802" s="59"/>
      <c r="AD802" s="59"/>
      <c r="AE802" s="59"/>
      <c r="AF802" s="59"/>
      <c r="AG802" s="59"/>
      <c r="AH802" s="59"/>
      <c r="AI802" s="59"/>
    </row>
    <row r="803" spans="1:35" ht="12.5">
      <c r="A803" s="59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  <c r="AA803" s="59"/>
      <c r="AB803" s="59"/>
      <c r="AC803" s="59"/>
      <c r="AD803" s="59"/>
      <c r="AE803" s="59"/>
      <c r="AF803" s="59"/>
      <c r="AG803" s="59"/>
      <c r="AH803" s="59"/>
      <c r="AI803" s="59"/>
    </row>
    <row r="804" spans="1:35" ht="12.5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  <c r="AA804" s="59"/>
      <c r="AB804" s="59"/>
      <c r="AC804" s="59"/>
      <c r="AD804" s="59"/>
      <c r="AE804" s="59"/>
      <c r="AF804" s="59"/>
      <c r="AG804" s="59"/>
      <c r="AH804" s="59"/>
      <c r="AI804" s="59"/>
    </row>
    <row r="805" spans="1:35" ht="12.5">
      <c r="A805" s="59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  <c r="AA805" s="59"/>
      <c r="AB805" s="59"/>
      <c r="AC805" s="59"/>
      <c r="AD805" s="59"/>
      <c r="AE805" s="59"/>
      <c r="AF805" s="59"/>
      <c r="AG805" s="59"/>
      <c r="AH805" s="59"/>
      <c r="AI805" s="59"/>
    </row>
    <row r="806" spans="1:35" ht="12.5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  <c r="AA806" s="59"/>
      <c r="AB806" s="59"/>
      <c r="AC806" s="59"/>
      <c r="AD806" s="59"/>
      <c r="AE806" s="59"/>
      <c r="AF806" s="59"/>
      <c r="AG806" s="59"/>
      <c r="AH806" s="59"/>
      <c r="AI806" s="59"/>
    </row>
    <row r="807" spans="1:35" ht="12.5">
      <c r="A807" s="59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  <c r="AA807" s="59"/>
      <c r="AB807" s="59"/>
      <c r="AC807" s="59"/>
      <c r="AD807" s="59"/>
      <c r="AE807" s="59"/>
      <c r="AF807" s="59"/>
      <c r="AG807" s="59"/>
      <c r="AH807" s="59"/>
      <c r="AI807" s="59"/>
    </row>
    <row r="808" spans="1:35" ht="12.5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  <c r="AA808" s="59"/>
      <c r="AB808" s="59"/>
      <c r="AC808" s="59"/>
      <c r="AD808" s="59"/>
      <c r="AE808" s="59"/>
      <c r="AF808" s="59"/>
      <c r="AG808" s="59"/>
      <c r="AH808" s="59"/>
      <c r="AI808" s="59"/>
    </row>
    <row r="809" spans="1:35" ht="12.5">
      <c r="A809" s="59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  <c r="AA809" s="59"/>
      <c r="AB809" s="59"/>
      <c r="AC809" s="59"/>
      <c r="AD809" s="59"/>
      <c r="AE809" s="59"/>
      <c r="AF809" s="59"/>
      <c r="AG809" s="59"/>
      <c r="AH809" s="59"/>
      <c r="AI809" s="59"/>
    </row>
    <row r="810" spans="1:35" ht="12.5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  <c r="AA810" s="59"/>
      <c r="AB810" s="59"/>
      <c r="AC810" s="59"/>
      <c r="AD810" s="59"/>
      <c r="AE810" s="59"/>
      <c r="AF810" s="59"/>
      <c r="AG810" s="59"/>
      <c r="AH810" s="59"/>
      <c r="AI810" s="59"/>
    </row>
    <row r="811" spans="1:35" ht="12.5">
      <c r="A811" s="59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  <c r="AA811" s="59"/>
      <c r="AB811" s="59"/>
      <c r="AC811" s="59"/>
      <c r="AD811" s="59"/>
      <c r="AE811" s="59"/>
      <c r="AF811" s="59"/>
      <c r="AG811" s="59"/>
      <c r="AH811" s="59"/>
      <c r="AI811" s="59"/>
    </row>
    <row r="812" spans="1:35" ht="12.5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  <c r="AA812" s="59"/>
      <c r="AB812" s="59"/>
      <c r="AC812" s="59"/>
      <c r="AD812" s="59"/>
      <c r="AE812" s="59"/>
      <c r="AF812" s="59"/>
      <c r="AG812" s="59"/>
      <c r="AH812" s="59"/>
      <c r="AI812" s="59"/>
    </row>
    <row r="813" spans="1:35" ht="12.5">
      <c r="A813" s="59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  <c r="AA813" s="59"/>
      <c r="AB813" s="59"/>
      <c r="AC813" s="59"/>
      <c r="AD813" s="59"/>
      <c r="AE813" s="59"/>
      <c r="AF813" s="59"/>
      <c r="AG813" s="59"/>
      <c r="AH813" s="59"/>
      <c r="AI813" s="59"/>
    </row>
    <row r="814" spans="1:35" ht="12.5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  <c r="AA814" s="59"/>
      <c r="AB814" s="59"/>
      <c r="AC814" s="59"/>
      <c r="AD814" s="59"/>
      <c r="AE814" s="59"/>
      <c r="AF814" s="59"/>
      <c r="AG814" s="59"/>
      <c r="AH814" s="59"/>
      <c r="AI814" s="59"/>
    </row>
    <row r="815" spans="1:35" ht="12.5">
      <c r="A815" s="59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  <c r="AA815" s="59"/>
      <c r="AB815" s="59"/>
      <c r="AC815" s="59"/>
      <c r="AD815" s="59"/>
      <c r="AE815" s="59"/>
      <c r="AF815" s="59"/>
      <c r="AG815" s="59"/>
      <c r="AH815" s="59"/>
      <c r="AI815" s="59"/>
    </row>
    <row r="816" spans="1:35" ht="12.5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  <c r="AA816" s="59"/>
      <c r="AB816" s="59"/>
      <c r="AC816" s="59"/>
      <c r="AD816" s="59"/>
      <c r="AE816" s="59"/>
      <c r="AF816" s="59"/>
      <c r="AG816" s="59"/>
      <c r="AH816" s="59"/>
      <c r="AI816" s="59"/>
    </row>
    <row r="817" spans="1:35" ht="12.5">
      <c r="A817" s="59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  <c r="AA817" s="59"/>
      <c r="AB817" s="59"/>
      <c r="AC817" s="59"/>
      <c r="AD817" s="59"/>
      <c r="AE817" s="59"/>
      <c r="AF817" s="59"/>
      <c r="AG817" s="59"/>
      <c r="AH817" s="59"/>
      <c r="AI817" s="59"/>
    </row>
    <row r="818" spans="1:35" ht="12.5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  <c r="AA818" s="59"/>
      <c r="AB818" s="59"/>
      <c r="AC818" s="59"/>
      <c r="AD818" s="59"/>
      <c r="AE818" s="59"/>
      <c r="AF818" s="59"/>
      <c r="AG818" s="59"/>
      <c r="AH818" s="59"/>
      <c r="AI818" s="59"/>
    </row>
    <row r="819" spans="1:35" ht="12.5">
      <c r="A819" s="59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  <c r="AA819" s="59"/>
      <c r="AB819" s="59"/>
      <c r="AC819" s="59"/>
      <c r="AD819" s="59"/>
      <c r="AE819" s="59"/>
      <c r="AF819" s="59"/>
      <c r="AG819" s="59"/>
      <c r="AH819" s="59"/>
      <c r="AI819" s="59"/>
    </row>
    <row r="820" spans="1:35" ht="12.5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  <c r="AA820" s="59"/>
      <c r="AB820" s="59"/>
      <c r="AC820" s="59"/>
      <c r="AD820" s="59"/>
      <c r="AE820" s="59"/>
      <c r="AF820" s="59"/>
      <c r="AG820" s="59"/>
      <c r="AH820" s="59"/>
      <c r="AI820" s="59"/>
    </row>
    <row r="821" spans="1:35" ht="12.5">
      <c r="A821" s="59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  <c r="AA821" s="59"/>
      <c r="AB821" s="59"/>
      <c r="AC821" s="59"/>
      <c r="AD821" s="59"/>
      <c r="AE821" s="59"/>
      <c r="AF821" s="59"/>
      <c r="AG821" s="59"/>
      <c r="AH821" s="59"/>
      <c r="AI821" s="59"/>
    </row>
    <row r="822" spans="1:35" ht="12.5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  <c r="AA822" s="59"/>
      <c r="AB822" s="59"/>
      <c r="AC822" s="59"/>
      <c r="AD822" s="59"/>
      <c r="AE822" s="59"/>
      <c r="AF822" s="59"/>
      <c r="AG822" s="59"/>
      <c r="AH822" s="59"/>
      <c r="AI822" s="59"/>
    </row>
    <row r="823" spans="1:35" ht="12.5">
      <c r="A823" s="59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  <c r="AA823" s="59"/>
      <c r="AB823" s="59"/>
      <c r="AC823" s="59"/>
      <c r="AD823" s="59"/>
      <c r="AE823" s="59"/>
      <c r="AF823" s="59"/>
      <c r="AG823" s="59"/>
      <c r="AH823" s="59"/>
      <c r="AI823" s="59"/>
    </row>
    <row r="824" spans="1:35" ht="12.5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  <c r="AA824" s="59"/>
      <c r="AB824" s="59"/>
      <c r="AC824" s="59"/>
      <c r="AD824" s="59"/>
      <c r="AE824" s="59"/>
      <c r="AF824" s="59"/>
      <c r="AG824" s="59"/>
      <c r="AH824" s="59"/>
      <c r="AI824" s="59"/>
    </row>
    <row r="825" spans="1:35" ht="12.5">
      <c r="A825" s="59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  <c r="AA825" s="59"/>
      <c r="AB825" s="59"/>
      <c r="AC825" s="59"/>
      <c r="AD825" s="59"/>
      <c r="AE825" s="59"/>
      <c r="AF825" s="59"/>
      <c r="AG825" s="59"/>
      <c r="AH825" s="59"/>
      <c r="AI825" s="59"/>
    </row>
    <row r="826" spans="1:35" ht="12.5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  <c r="AA826" s="59"/>
      <c r="AB826" s="59"/>
      <c r="AC826" s="59"/>
      <c r="AD826" s="59"/>
      <c r="AE826" s="59"/>
      <c r="AF826" s="59"/>
      <c r="AG826" s="59"/>
      <c r="AH826" s="59"/>
      <c r="AI826" s="59"/>
    </row>
    <row r="827" spans="1:35" ht="12.5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  <c r="AA827" s="59"/>
      <c r="AB827" s="59"/>
      <c r="AC827" s="59"/>
      <c r="AD827" s="59"/>
      <c r="AE827" s="59"/>
      <c r="AF827" s="59"/>
      <c r="AG827" s="59"/>
      <c r="AH827" s="59"/>
      <c r="AI827" s="59"/>
    </row>
    <row r="828" spans="1:35" ht="12.5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  <c r="AA828" s="59"/>
      <c r="AB828" s="59"/>
      <c r="AC828" s="59"/>
      <c r="AD828" s="59"/>
      <c r="AE828" s="59"/>
      <c r="AF828" s="59"/>
      <c r="AG828" s="59"/>
      <c r="AH828" s="59"/>
      <c r="AI828" s="59"/>
    </row>
    <row r="829" spans="1:35" ht="12.5">
      <c r="A829" s="59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  <c r="AA829" s="59"/>
      <c r="AB829" s="59"/>
      <c r="AC829" s="59"/>
      <c r="AD829" s="59"/>
      <c r="AE829" s="59"/>
      <c r="AF829" s="59"/>
      <c r="AG829" s="59"/>
      <c r="AH829" s="59"/>
      <c r="AI829" s="59"/>
    </row>
    <row r="830" spans="1:35" ht="12.5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  <c r="AA830" s="59"/>
      <c r="AB830" s="59"/>
      <c r="AC830" s="59"/>
      <c r="AD830" s="59"/>
      <c r="AE830" s="59"/>
      <c r="AF830" s="59"/>
      <c r="AG830" s="59"/>
      <c r="AH830" s="59"/>
      <c r="AI830" s="59"/>
    </row>
    <row r="831" spans="1:35" ht="12.5">
      <c r="A831" s="59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  <c r="AA831" s="59"/>
      <c r="AB831" s="59"/>
      <c r="AC831" s="59"/>
      <c r="AD831" s="59"/>
      <c r="AE831" s="59"/>
      <c r="AF831" s="59"/>
      <c r="AG831" s="59"/>
      <c r="AH831" s="59"/>
      <c r="AI831" s="59"/>
    </row>
    <row r="832" spans="1:35" ht="12.5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  <c r="AA832" s="59"/>
      <c r="AB832" s="59"/>
      <c r="AC832" s="59"/>
      <c r="AD832" s="59"/>
      <c r="AE832" s="59"/>
      <c r="AF832" s="59"/>
      <c r="AG832" s="59"/>
      <c r="AH832" s="59"/>
      <c r="AI832" s="59"/>
    </row>
    <row r="833" spans="1:35" ht="12.5">
      <c r="A833" s="59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  <c r="AA833" s="59"/>
      <c r="AB833" s="59"/>
      <c r="AC833" s="59"/>
      <c r="AD833" s="59"/>
      <c r="AE833" s="59"/>
      <c r="AF833" s="59"/>
      <c r="AG833" s="59"/>
      <c r="AH833" s="59"/>
      <c r="AI833" s="59"/>
    </row>
    <row r="834" spans="1:35" ht="12.5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  <c r="AA834" s="59"/>
      <c r="AB834" s="59"/>
      <c r="AC834" s="59"/>
      <c r="AD834" s="59"/>
      <c r="AE834" s="59"/>
      <c r="AF834" s="59"/>
      <c r="AG834" s="59"/>
      <c r="AH834" s="59"/>
      <c r="AI834" s="59"/>
    </row>
    <row r="835" spans="1:35" ht="12.5">
      <c r="A835" s="59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  <c r="AA835" s="59"/>
      <c r="AB835" s="59"/>
      <c r="AC835" s="59"/>
      <c r="AD835" s="59"/>
      <c r="AE835" s="59"/>
      <c r="AF835" s="59"/>
      <c r="AG835" s="59"/>
      <c r="AH835" s="59"/>
      <c r="AI835" s="59"/>
    </row>
    <row r="836" spans="1:35" ht="12.5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  <c r="AA836" s="59"/>
      <c r="AB836" s="59"/>
      <c r="AC836" s="59"/>
      <c r="AD836" s="59"/>
      <c r="AE836" s="59"/>
      <c r="AF836" s="59"/>
      <c r="AG836" s="59"/>
      <c r="AH836" s="59"/>
      <c r="AI836" s="59"/>
    </row>
    <row r="837" spans="1:35" ht="12.5">
      <c r="A837" s="59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  <c r="AA837" s="59"/>
      <c r="AB837" s="59"/>
      <c r="AC837" s="59"/>
      <c r="AD837" s="59"/>
      <c r="AE837" s="59"/>
      <c r="AF837" s="59"/>
      <c r="AG837" s="59"/>
      <c r="AH837" s="59"/>
      <c r="AI837" s="59"/>
    </row>
    <row r="838" spans="1:35" ht="12.5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  <c r="AA838" s="59"/>
      <c r="AB838" s="59"/>
      <c r="AC838" s="59"/>
      <c r="AD838" s="59"/>
      <c r="AE838" s="59"/>
      <c r="AF838" s="59"/>
      <c r="AG838" s="59"/>
      <c r="AH838" s="59"/>
      <c r="AI838" s="59"/>
    </row>
    <row r="839" spans="1:35" ht="12.5">
      <c r="A839" s="59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  <c r="AA839" s="59"/>
      <c r="AB839" s="59"/>
      <c r="AC839" s="59"/>
      <c r="AD839" s="59"/>
      <c r="AE839" s="59"/>
      <c r="AF839" s="59"/>
      <c r="AG839" s="59"/>
      <c r="AH839" s="59"/>
      <c r="AI839" s="59"/>
    </row>
    <row r="840" spans="1:35" ht="12.5">
      <c r="A840" s="59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  <c r="AA840" s="59"/>
      <c r="AB840" s="59"/>
      <c r="AC840" s="59"/>
      <c r="AD840" s="59"/>
      <c r="AE840" s="59"/>
      <c r="AF840" s="59"/>
      <c r="AG840" s="59"/>
      <c r="AH840" s="59"/>
      <c r="AI840" s="59"/>
    </row>
    <row r="841" spans="1:35" ht="12.5">
      <c r="A841" s="59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  <c r="AA841" s="59"/>
      <c r="AB841" s="59"/>
      <c r="AC841" s="59"/>
      <c r="AD841" s="59"/>
      <c r="AE841" s="59"/>
      <c r="AF841" s="59"/>
      <c r="AG841" s="59"/>
      <c r="AH841" s="59"/>
      <c r="AI841" s="59"/>
    </row>
    <row r="842" spans="1:35" ht="12.5">
      <c r="A842" s="59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  <c r="AA842" s="59"/>
      <c r="AB842" s="59"/>
      <c r="AC842" s="59"/>
      <c r="AD842" s="59"/>
      <c r="AE842" s="59"/>
      <c r="AF842" s="59"/>
      <c r="AG842" s="59"/>
      <c r="AH842" s="59"/>
      <c r="AI842" s="59"/>
    </row>
    <row r="843" spans="1:35" ht="12.5">
      <c r="A843" s="59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  <c r="AA843" s="59"/>
      <c r="AB843" s="59"/>
      <c r="AC843" s="59"/>
      <c r="AD843" s="59"/>
      <c r="AE843" s="59"/>
      <c r="AF843" s="59"/>
      <c r="AG843" s="59"/>
      <c r="AH843" s="59"/>
      <c r="AI843" s="59"/>
    </row>
    <row r="844" spans="1:35" ht="12.5">
      <c r="A844" s="59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  <c r="AA844" s="59"/>
      <c r="AB844" s="59"/>
      <c r="AC844" s="59"/>
      <c r="AD844" s="59"/>
      <c r="AE844" s="59"/>
      <c r="AF844" s="59"/>
      <c r="AG844" s="59"/>
      <c r="AH844" s="59"/>
      <c r="AI844" s="59"/>
    </row>
    <row r="845" spans="1:35" ht="12.5">
      <c r="A845" s="59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  <c r="AA845" s="59"/>
      <c r="AB845" s="59"/>
      <c r="AC845" s="59"/>
      <c r="AD845" s="59"/>
      <c r="AE845" s="59"/>
      <c r="AF845" s="59"/>
      <c r="AG845" s="59"/>
      <c r="AH845" s="59"/>
      <c r="AI845" s="59"/>
    </row>
    <row r="846" spans="1:35" ht="12.5">
      <c r="A846" s="59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  <c r="AA846" s="59"/>
      <c r="AB846" s="59"/>
      <c r="AC846" s="59"/>
      <c r="AD846" s="59"/>
      <c r="AE846" s="59"/>
      <c r="AF846" s="59"/>
      <c r="AG846" s="59"/>
      <c r="AH846" s="59"/>
      <c r="AI846" s="59"/>
    </row>
    <row r="847" spans="1:35" ht="12.5">
      <c r="A847" s="59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  <c r="AA847" s="59"/>
      <c r="AB847" s="59"/>
      <c r="AC847" s="59"/>
      <c r="AD847" s="59"/>
      <c r="AE847" s="59"/>
      <c r="AF847" s="59"/>
      <c r="AG847" s="59"/>
      <c r="AH847" s="59"/>
      <c r="AI847" s="59"/>
    </row>
    <row r="848" spans="1:35" ht="12.5">
      <c r="A848" s="59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  <c r="AA848" s="59"/>
      <c r="AB848" s="59"/>
      <c r="AC848" s="59"/>
      <c r="AD848" s="59"/>
      <c r="AE848" s="59"/>
      <c r="AF848" s="59"/>
      <c r="AG848" s="59"/>
      <c r="AH848" s="59"/>
      <c r="AI848" s="59"/>
    </row>
    <row r="849" spans="1:35" ht="12.5">
      <c r="A849" s="59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  <c r="AA849" s="59"/>
      <c r="AB849" s="59"/>
      <c r="AC849" s="59"/>
      <c r="AD849" s="59"/>
      <c r="AE849" s="59"/>
      <c r="AF849" s="59"/>
      <c r="AG849" s="59"/>
      <c r="AH849" s="59"/>
      <c r="AI849" s="59"/>
    </row>
    <row r="850" spans="1:35" ht="12.5">
      <c r="A850" s="59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  <c r="AA850" s="59"/>
      <c r="AB850" s="59"/>
      <c r="AC850" s="59"/>
      <c r="AD850" s="59"/>
      <c r="AE850" s="59"/>
      <c r="AF850" s="59"/>
      <c r="AG850" s="59"/>
      <c r="AH850" s="59"/>
      <c r="AI850" s="59"/>
    </row>
    <row r="851" spans="1:35" ht="12.5">
      <c r="A851" s="59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  <c r="AA851" s="59"/>
      <c r="AB851" s="59"/>
      <c r="AC851" s="59"/>
      <c r="AD851" s="59"/>
      <c r="AE851" s="59"/>
      <c r="AF851" s="59"/>
      <c r="AG851" s="59"/>
      <c r="AH851" s="59"/>
      <c r="AI851" s="59"/>
    </row>
    <row r="852" spans="1:35" ht="12.5">
      <c r="A852" s="59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  <c r="AA852" s="59"/>
      <c r="AB852" s="59"/>
      <c r="AC852" s="59"/>
      <c r="AD852" s="59"/>
      <c r="AE852" s="59"/>
      <c r="AF852" s="59"/>
      <c r="AG852" s="59"/>
      <c r="AH852" s="59"/>
      <c r="AI852" s="59"/>
    </row>
    <row r="853" spans="1:35" ht="12.5">
      <c r="A853" s="59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  <c r="AA853" s="59"/>
      <c r="AB853" s="59"/>
      <c r="AC853" s="59"/>
      <c r="AD853" s="59"/>
      <c r="AE853" s="59"/>
      <c r="AF853" s="59"/>
      <c r="AG853" s="59"/>
      <c r="AH853" s="59"/>
      <c r="AI853" s="59"/>
    </row>
    <row r="854" spans="1:35" ht="12.5">
      <c r="A854" s="59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  <c r="AA854" s="59"/>
      <c r="AB854" s="59"/>
      <c r="AC854" s="59"/>
      <c r="AD854" s="59"/>
      <c r="AE854" s="59"/>
      <c r="AF854" s="59"/>
      <c r="AG854" s="59"/>
      <c r="AH854" s="59"/>
      <c r="AI854" s="59"/>
    </row>
    <row r="855" spans="1:35" ht="12.5">
      <c r="A855" s="59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  <c r="AA855" s="59"/>
      <c r="AB855" s="59"/>
      <c r="AC855" s="59"/>
      <c r="AD855" s="59"/>
      <c r="AE855" s="59"/>
      <c r="AF855" s="59"/>
      <c r="AG855" s="59"/>
      <c r="AH855" s="59"/>
      <c r="AI855" s="59"/>
    </row>
    <row r="856" spans="1:35" ht="12.5">
      <c r="A856" s="59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  <c r="AA856" s="59"/>
      <c r="AB856" s="59"/>
      <c r="AC856" s="59"/>
      <c r="AD856" s="59"/>
      <c r="AE856" s="59"/>
      <c r="AF856" s="59"/>
      <c r="AG856" s="59"/>
      <c r="AH856" s="59"/>
      <c r="AI856" s="59"/>
    </row>
    <row r="857" spans="1:35" ht="12.5">
      <c r="A857" s="59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  <c r="AA857" s="59"/>
      <c r="AB857" s="59"/>
      <c r="AC857" s="59"/>
      <c r="AD857" s="59"/>
      <c r="AE857" s="59"/>
      <c r="AF857" s="59"/>
      <c r="AG857" s="59"/>
      <c r="AH857" s="59"/>
      <c r="AI857" s="59"/>
    </row>
    <row r="858" spans="1:35" ht="12.5">
      <c r="A858" s="59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  <c r="AA858" s="59"/>
      <c r="AB858" s="59"/>
      <c r="AC858" s="59"/>
      <c r="AD858" s="59"/>
      <c r="AE858" s="59"/>
      <c r="AF858" s="59"/>
      <c r="AG858" s="59"/>
      <c r="AH858" s="59"/>
      <c r="AI858" s="59"/>
    </row>
    <row r="859" spans="1:35" ht="12.5">
      <c r="A859" s="59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  <c r="AA859" s="59"/>
      <c r="AB859" s="59"/>
      <c r="AC859" s="59"/>
      <c r="AD859" s="59"/>
      <c r="AE859" s="59"/>
      <c r="AF859" s="59"/>
      <c r="AG859" s="59"/>
      <c r="AH859" s="59"/>
      <c r="AI859" s="59"/>
    </row>
    <row r="860" spans="1:35" ht="12.5">
      <c r="A860" s="59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  <c r="AA860" s="59"/>
      <c r="AB860" s="59"/>
      <c r="AC860" s="59"/>
      <c r="AD860" s="59"/>
      <c r="AE860" s="59"/>
      <c r="AF860" s="59"/>
      <c r="AG860" s="59"/>
      <c r="AH860" s="59"/>
      <c r="AI860" s="59"/>
    </row>
    <row r="861" spans="1:35" ht="12.5">
      <c r="A861" s="59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  <c r="AA861" s="59"/>
      <c r="AB861" s="59"/>
      <c r="AC861" s="59"/>
      <c r="AD861" s="59"/>
      <c r="AE861" s="59"/>
      <c r="AF861" s="59"/>
      <c r="AG861" s="59"/>
      <c r="AH861" s="59"/>
      <c r="AI861" s="59"/>
    </row>
    <row r="862" spans="1:35" ht="12.5">
      <c r="A862" s="59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  <c r="AA862" s="59"/>
      <c r="AB862" s="59"/>
      <c r="AC862" s="59"/>
      <c r="AD862" s="59"/>
      <c r="AE862" s="59"/>
      <c r="AF862" s="59"/>
      <c r="AG862" s="59"/>
      <c r="AH862" s="59"/>
      <c r="AI862" s="59"/>
    </row>
    <row r="863" spans="1:35" ht="12.5">
      <c r="A863" s="59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  <c r="AA863" s="59"/>
      <c r="AB863" s="59"/>
      <c r="AC863" s="59"/>
      <c r="AD863" s="59"/>
      <c r="AE863" s="59"/>
      <c r="AF863" s="59"/>
      <c r="AG863" s="59"/>
      <c r="AH863" s="59"/>
      <c r="AI863" s="59"/>
    </row>
    <row r="864" spans="1:35" ht="12.5">
      <c r="A864" s="59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  <c r="AA864" s="59"/>
      <c r="AB864" s="59"/>
      <c r="AC864" s="59"/>
      <c r="AD864" s="59"/>
      <c r="AE864" s="59"/>
      <c r="AF864" s="59"/>
      <c r="AG864" s="59"/>
      <c r="AH864" s="59"/>
      <c r="AI864" s="59"/>
    </row>
    <row r="865" spans="1:35" ht="12.5">
      <c r="A865" s="59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  <c r="AA865" s="59"/>
      <c r="AB865" s="59"/>
      <c r="AC865" s="59"/>
      <c r="AD865" s="59"/>
      <c r="AE865" s="59"/>
      <c r="AF865" s="59"/>
      <c r="AG865" s="59"/>
      <c r="AH865" s="59"/>
      <c r="AI865" s="59"/>
    </row>
    <row r="866" spans="1:35" ht="12.5">
      <c r="A866" s="59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  <c r="AA866" s="59"/>
      <c r="AB866" s="59"/>
      <c r="AC866" s="59"/>
      <c r="AD866" s="59"/>
      <c r="AE866" s="59"/>
      <c r="AF866" s="59"/>
      <c r="AG866" s="59"/>
      <c r="AH866" s="59"/>
      <c r="AI866" s="59"/>
    </row>
    <row r="867" spans="1:35" ht="12.5">
      <c r="A867" s="59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  <c r="AA867" s="59"/>
      <c r="AB867" s="59"/>
      <c r="AC867" s="59"/>
      <c r="AD867" s="59"/>
      <c r="AE867" s="59"/>
      <c r="AF867" s="59"/>
      <c r="AG867" s="59"/>
      <c r="AH867" s="59"/>
      <c r="AI867" s="59"/>
    </row>
    <row r="868" spans="1:35" ht="12.5">
      <c r="A868" s="59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  <c r="AA868" s="59"/>
      <c r="AB868" s="59"/>
      <c r="AC868" s="59"/>
      <c r="AD868" s="59"/>
      <c r="AE868" s="59"/>
      <c r="AF868" s="59"/>
      <c r="AG868" s="59"/>
      <c r="AH868" s="59"/>
      <c r="AI868" s="59"/>
    </row>
    <row r="869" spans="1:35" ht="12.5">
      <c r="A869" s="59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  <c r="AA869" s="59"/>
      <c r="AB869" s="59"/>
      <c r="AC869" s="59"/>
      <c r="AD869" s="59"/>
      <c r="AE869" s="59"/>
      <c r="AF869" s="59"/>
      <c r="AG869" s="59"/>
      <c r="AH869" s="59"/>
      <c r="AI869" s="59"/>
    </row>
    <row r="870" spans="1:35" ht="12.5">
      <c r="A870" s="59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  <c r="AA870" s="59"/>
      <c r="AB870" s="59"/>
      <c r="AC870" s="59"/>
      <c r="AD870" s="59"/>
      <c r="AE870" s="59"/>
      <c r="AF870" s="59"/>
      <c r="AG870" s="59"/>
      <c r="AH870" s="59"/>
      <c r="AI870" s="59"/>
    </row>
    <row r="871" spans="1:35" ht="12.5">
      <c r="A871" s="59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  <c r="AA871" s="59"/>
      <c r="AB871" s="59"/>
      <c r="AC871" s="59"/>
      <c r="AD871" s="59"/>
      <c r="AE871" s="59"/>
      <c r="AF871" s="59"/>
      <c r="AG871" s="59"/>
      <c r="AH871" s="59"/>
      <c r="AI871" s="59"/>
    </row>
    <row r="872" spans="1:35" ht="12.5">
      <c r="A872" s="59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  <c r="AA872" s="59"/>
      <c r="AB872" s="59"/>
      <c r="AC872" s="59"/>
      <c r="AD872" s="59"/>
      <c r="AE872" s="59"/>
      <c r="AF872" s="59"/>
      <c r="AG872" s="59"/>
      <c r="AH872" s="59"/>
      <c r="AI872" s="59"/>
    </row>
    <row r="873" spans="1:35" ht="12.5">
      <c r="A873" s="59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  <c r="AA873" s="59"/>
      <c r="AB873" s="59"/>
      <c r="AC873" s="59"/>
      <c r="AD873" s="59"/>
      <c r="AE873" s="59"/>
      <c r="AF873" s="59"/>
      <c r="AG873" s="59"/>
      <c r="AH873" s="59"/>
      <c r="AI873" s="59"/>
    </row>
    <row r="874" spans="1:35" ht="12.5">
      <c r="A874" s="59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  <c r="AA874" s="59"/>
      <c r="AB874" s="59"/>
      <c r="AC874" s="59"/>
      <c r="AD874" s="59"/>
      <c r="AE874" s="59"/>
      <c r="AF874" s="59"/>
      <c r="AG874" s="59"/>
      <c r="AH874" s="59"/>
      <c r="AI874" s="59"/>
    </row>
    <row r="875" spans="1:35" ht="12.5">
      <c r="A875" s="59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  <c r="AA875" s="59"/>
      <c r="AB875" s="59"/>
      <c r="AC875" s="59"/>
      <c r="AD875" s="59"/>
      <c r="AE875" s="59"/>
      <c r="AF875" s="59"/>
      <c r="AG875" s="59"/>
      <c r="AH875" s="59"/>
      <c r="AI875" s="59"/>
    </row>
    <row r="876" spans="1:35" ht="12.5">
      <c r="A876" s="59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  <c r="AA876" s="59"/>
      <c r="AB876" s="59"/>
      <c r="AC876" s="59"/>
      <c r="AD876" s="59"/>
      <c r="AE876" s="59"/>
      <c r="AF876" s="59"/>
      <c r="AG876" s="59"/>
      <c r="AH876" s="59"/>
      <c r="AI876" s="59"/>
    </row>
    <row r="877" spans="1:35" ht="12.5">
      <c r="A877" s="59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  <c r="AA877" s="59"/>
      <c r="AB877" s="59"/>
      <c r="AC877" s="59"/>
      <c r="AD877" s="59"/>
      <c r="AE877" s="59"/>
      <c r="AF877" s="59"/>
      <c r="AG877" s="59"/>
      <c r="AH877" s="59"/>
      <c r="AI877" s="59"/>
    </row>
    <row r="878" spans="1:35" ht="12.5">
      <c r="A878" s="59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  <c r="AA878" s="59"/>
      <c r="AB878" s="59"/>
      <c r="AC878" s="59"/>
      <c r="AD878" s="59"/>
      <c r="AE878" s="59"/>
      <c r="AF878" s="59"/>
      <c r="AG878" s="59"/>
      <c r="AH878" s="59"/>
      <c r="AI878" s="59"/>
    </row>
    <row r="879" spans="1:35" ht="12.5">
      <c r="A879" s="59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  <c r="AA879" s="59"/>
      <c r="AB879" s="59"/>
      <c r="AC879" s="59"/>
      <c r="AD879" s="59"/>
      <c r="AE879" s="59"/>
      <c r="AF879" s="59"/>
      <c r="AG879" s="59"/>
      <c r="AH879" s="59"/>
      <c r="AI879" s="59"/>
    </row>
    <row r="880" spans="1:35" ht="12.5">
      <c r="A880" s="59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  <c r="AA880" s="59"/>
      <c r="AB880" s="59"/>
      <c r="AC880" s="59"/>
      <c r="AD880" s="59"/>
      <c r="AE880" s="59"/>
      <c r="AF880" s="59"/>
      <c r="AG880" s="59"/>
      <c r="AH880" s="59"/>
      <c r="AI880" s="59"/>
    </row>
    <row r="881" spans="1:35" ht="12.5">
      <c r="A881" s="59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  <c r="AA881" s="59"/>
      <c r="AB881" s="59"/>
      <c r="AC881" s="59"/>
      <c r="AD881" s="59"/>
      <c r="AE881" s="59"/>
      <c r="AF881" s="59"/>
      <c r="AG881" s="59"/>
      <c r="AH881" s="59"/>
      <c r="AI881" s="59"/>
    </row>
    <row r="882" spans="1:35" ht="12.5">
      <c r="A882" s="59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  <c r="AA882" s="59"/>
      <c r="AB882" s="59"/>
      <c r="AC882" s="59"/>
      <c r="AD882" s="59"/>
      <c r="AE882" s="59"/>
      <c r="AF882" s="59"/>
      <c r="AG882" s="59"/>
      <c r="AH882" s="59"/>
      <c r="AI882" s="59"/>
    </row>
    <row r="883" spans="1:35" ht="12.5">
      <c r="A883" s="59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  <c r="AA883" s="59"/>
      <c r="AB883" s="59"/>
      <c r="AC883" s="59"/>
      <c r="AD883" s="59"/>
      <c r="AE883" s="59"/>
      <c r="AF883" s="59"/>
      <c r="AG883" s="59"/>
      <c r="AH883" s="59"/>
      <c r="AI883" s="59"/>
    </row>
    <row r="884" spans="1:35" ht="12.5">
      <c r="A884" s="59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  <c r="AA884" s="59"/>
      <c r="AB884" s="59"/>
      <c r="AC884" s="59"/>
      <c r="AD884" s="59"/>
      <c r="AE884" s="59"/>
      <c r="AF884" s="59"/>
      <c r="AG884" s="59"/>
      <c r="AH884" s="59"/>
      <c r="AI884" s="59"/>
    </row>
    <row r="885" spans="1:35" ht="12.5">
      <c r="A885" s="59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  <c r="AA885" s="59"/>
      <c r="AB885" s="59"/>
      <c r="AC885" s="59"/>
      <c r="AD885" s="59"/>
      <c r="AE885" s="59"/>
      <c r="AF885" s="59"/>
      <c r="AG885" s="59"/>
      <c r="AH885" s="59"/>
      <c r="AI885" s="59"/>
    </row>
    <row r="886" spans="1:35" ht="12.5">
      <c r="A886" s="59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  <c r="AA886" s="59"/>
      <c r="AB886" s="59"/>
      <c r="AC886" s="59"/>
      <c r="AD886" s="59"/>
      <c r="AE886" s="59"/>
      <c r="AF886" s="59"/>
      <c r="AG886" s="59"/>
      <c r="AH886" s="59"/>
      <c r="AI886" s="59"/>
    </row>
    <row r="887" spans="1:35" ht="12.5">
      <c r="A887" s="59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  <c r="AA887" s="59"/>
      <c r="AB887" s="59"/>
      <c r="AC887" s="59"/>
      <c r="AD887" s="59"/>
      <c r="AE887" s="59"/>
      <c r="AF887" s="59"/>
      <c r="AG887" s="59"/>
      <c r="AH887" s="59"/>
      <c r="AI887" s="59"/>
    </row>
    <row r="888" spans="1:35" ht="12.5">
      <c r="A888" s="59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  <c r="AA888" s="59"/>
      <c r="AB888" s="59"/>
      <c r="AC888" s="59"/>
      <c r="AD888" s="59"/>
      <c r="AE888" s="59"/>
      <c r="AF888" s="59"/>
      <c r="AG888" s="59"/>
      <c r="AH888" s="59"/>
      <c r="AI888" s="59"/>
    </row>
    <row r="889" spans="1:35" ht="12.5">
      <c r="A889" s="59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  <c r="AA889" s="59"/>
      <c r="AB889" s="59"/>
      <c r="AC889" s="59"/>
      <c r="AD889" s="59"/>
      <c r="AE889" s="59"/>
      <c r="AF889" s="59"/>
      <c r="AG889" s="59"/>
      <c r="AH889" s="59"/>
      <c r="AI889" s="59"/>
    </row>
    <row r="890" spans="1:35" ht="12.5">
      <c r="A890" s="59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  <c r="AA890" s="59"/>
      <c r="AB890" s="59"/>
      <c r="AC890" s="59"/>
      <c r="AD890" s="59"/>
      <c r="AE890" s="59"/>
      <c r="AF890" s="59"/>
      <c r="AG890" s="59"/>
      <c r="AH890" s="59"/>
      <c r="AI890" s="59"/>
    </row>
    <row r="891" spans="1:35" ht="12.5">
      <c r="A891" s="59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  <c r="AA891" s="59"/>
      <c r="AB891" s="59"/>
      <c r="AC891" s="59"/>
      <c r="AD891" s="59"/>
      <c r="AE891" s="59"/>
      <c r="AF891" s="59"/>
      <c r="AG891" s="59"/>
      <c r="AH891" s="59"/>
      <c r="AI891" s="59"/>
    </row>
    <row r="892" spans="1:35" ht="12.5">
      <c r="A892" s="59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  <c r="AA892" s="59"/>
      <c r="AB892" s="59"/>
      <c r="AC892" s="59"/>
      <c r="AD892" s="59"/>
      <c r="AE892" s="59"/>
      <c r="AF892" s="59"/>
      <c r="AG892" s="59"/>
      <c r="AH892" s="59"/>
      <c r="AI892" s="59"/>
    </row>
    <row r="893" spans="1:35" ht="12.5">
      <c r="A893" s="59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  <c r="AA893" s="59"/>
      <c r="AB893" s="59"/>
      <c r="AC893" s="59"/>
      <c r="AD893" s="59"/>
      <c r="AE893" s="59"/>
      <c r="AF893" s="59"/>
      <c r="AG893" s="59"/>
      <c r="AH893" s="59"/>
      <c r="AI893" s="59"/>
    </row>
    <row r="894" spans="1:35" ht="12.5">
      <c r="A894" s="59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  <c r="AA894" s="59"/>
      <c r="AB894" s="59"/>
      <c r="AC894" s="59"/>
      <c r="AD894" s="59"/>
      <c r="AE894" s="59"/>
      <c r="AF894" s="59"/>
      <c r="AG894" s="59"/>
      <c r="AH894" s="59"/>
      <c r="AI894" s="59"/>
    </row>
    <row r="895" spans="1:35" ht="12.5">
      <c r="A895" s="59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  <c r="AA895" s="59"/>
      <c r="AB895" s="59"/>
      <c r="AC895" s="59"/>
      <c r="AD895" s="59"/>
      <c r="AE895" s="59"/>
      <c r="AF895" s="59"/>
      <c r="AG895" s="59"/>
      <c r="AH895" s="59"/>
      <c r="AI895" s="59"/>
    </row>
    <row r="896" spans="1:35" ht="12.5">
      <c r="A896" s="59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  <c r="AA896" s="59"/>
      <c r="AB896" s="59"/>
      <c r="AC896" s="59"/>
      <c r="AD896" s="59"/>
      <c r="AE896" s="59"/>
      <c r="AF896" s="59"/>
      <c r="AG896" s="59"/>
      <c r="AH896" s="59"/>
      <c r="AI896" s="59"/>
    </row>
    <row r="897" spans="1:35" ht="12.5">
      <c r="A897" s="59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  <c r="AA897" s="59"/>
      <c r="AB897" s="59"/>
      <c r="AC897" s="59"/>
      <c r="AD897" s="59"/>
      <c r="AE897" s="59"/>
      <c r="AF897" s="59"/>
      <c r="AG897" s="59"/>
      <c r="AH897" s="59"/>
      <c r="AI897" s="59"/>
    </row>
    <row r="898" spans="1:35" ht="12.5">
      <c r="A898" s="59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  <c r="AA898" s="59"/>
      <c r="AB898" s="59"/>
      <c r="AC898" s="59"/>
      <c r="AD898" s="59"/>
      <c r="AE898" s="59"/>
      <c r="AF898" s="59"/>
      <c r="AG898" s="59"/>
      <c r="AH898" s="59"/>
      <c r="AI898" s="59"/>
    </row>
    <row r="899" spans="1:35" ht="12.5">
      <c r="A899" s="59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  <c r="AA899" s="59"/>
      <c r="AB899" s="59"/>
      <c r="AC899" s="59"/>
      <c r="AD899" s="59"/>
      <c r="AE899" s="59"/>
      <c r="AF899" s="59"/>
      <c r="AG899" s="59"/>
      <c r="AH899" s="59"/>
      <c r="AI899" s="59"/>
    </row>
    <row r="900" spans="1:35" ht="12.5">
      <c r="A900" s="59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  <c r="AA900" s="59"/>
      <c r="AB900" s="59"/>
      <c r="AC900" s="59"/>
      <c r="AD900" s="59"/>
      <c r="AE900" s="59"/>
      <c r="AF900" s="59"/>
      <c r="AG900" s="59"/>
      <c r="AH900" s="59"/>
      <c r="AI900" s="59"/>
    </row>
    <row r="901" spans="1:35" ht="12.5">
      <c r="A901" s="59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  <c r="AA901" s="59"/>
      <c r="AB901" s="59"/>
      <c r="AC901" s="59"/>
      <c r="AD901" s="59"/>
      <c r="AE901" s="59"/>
      <c r="AF901" s="59"/>
      <c r="AG901" s="59"/>
      <c r="AH901" s="59"/>
      <c r="AI901" s="59"/>
    </row>
    <row r="902" spans="1:35" ht="12.5">
      <c r="A902" s="59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  <c r="AA902" s="59"/>
      <c r="AB902" s="59"/>
      <c r="AC902" s="59"/>
      <c r="AD902" s="59"/>
      <c r="AE902" s="59"/>
      <c r="AF902" s="59"/>
      <c r="AG902" s="59"/>
      <c r="AH902" s="59"/>
      <c r="AI902" s="59"/>
    </row>
    <row r="903" spans="1:35" ht="12.5">
      <c r="A903" s="59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  <c r="AA903" s="59"/>
      <c r="AB903" s="59"/>
      <c r="AC903" s="59"/>
      <c r="AD903" s="59"/>
      <c r="AE903" s="59"/>
      <c r="AF903" s="59"/>
      <c r="AG903" s="59"/>
      <c r="AH903" s="59"/>
      <c r="AI903" s="59"/>
    </row>
    <row r="904" spans="1:35" ht="12.5">
      <c r="A904" s="59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  <c r="AA904" s="59"/>
      <c r="AB904" s="59"/>
      <c r="AC904" s="59"/>
      <c r="AD904" s="59"/>
      <c r="AE904" s="59"/>
      <c r="AF904" s="59"/>
      <c r="AG904" s="59"/>
      <c r="AH904" s="59"/>
      <c r="AI904" s="59"/>
    </row>
    <row r="905" spans="1:35" ht="12.5">
      <c r="A905" s="59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  <c r="AA905" s="59"/>
      <c r="AB905" s="59"/>
      <c r="AC905" s="59"/>
      <c r="AD905" s="59"/>
      <c r="AE905" s="59"/>
      <c r="AF905" s="59"/>
      <c r="AG905" s="59"/>
      <c r="AH905" s="59"/>
      <c r="AI905" s="59"/>
    </row>
    <row r="906" spans="1:35" ht="12.5">
      <c r="A906" s="59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  <c r="AA906" s="59"/>
      <c r="AB906" s="59"/>
      <c r="AC906" s="59"/>
      <c r="AD906" s="59"/>
      <c r="AE906" s="59"/>
      <c r="AF906" s="59"/>
      <c r="AG906" s="59"/>
      <c r="AH906" s="59"/>
      <c r="AI906" s="59"/>
    </row>
    <row r="907" spans="1:35" ht="12.5">
      <c r="A907" s="59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  <c r="AA907" s="59"/>
      <c r="AB907" s="59"/>
      <c r="AC907" s="59"/>
      <c r="AD907" s="59"/>
      <c r="AE907" s="59"/>
      <c r="AF907" s="59"/>
      <c r="AG907" s="59"/>
      <c r="AH907" s="59"/>
      <c r="AI907" s="59"/>
    </row>
    <row r="908" spans="1:35" ht="12.5">
      <c r="A908" s="59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  <c r="AA908" s="59"/>
      <c r="AB908" s="59"/>
      <c r="AC908" s="59"/>
      <c r="AD908" s="59"/>
      <c r="AE908" s="59"/>
      <c r="AF908" s="59"/>
      <c r="AG908" s="59"/>
      <c r="AH908" s="59"/>
      <c r="AI908" s="59"/>
    </row>
    <row r="909" spans="1:35" ht="12.5">
      <c r="A909" s="59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  <c r="AA909" s="59"/>
      <c r="AB909" s="59"/>
      <c r="AC909" s="59"/>
      <c r="AD909" s="59"/>
      <c r="AE909" s="59"/>
      <c r="AF909" s="59"/>
      <c r="AG909" s="59"/>
      <c r="AH909" s="59"/>
      <c r="AI909" s="59"/>
    </row>
    <row r="910" spans="1:35" ht="12.5">
      <c r="A910" s="59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  <c r="AA910" s="59"/>
      <c r="AB910" s="59"/>
      <c r="AC910" s="59"/>
      <c r="AD910" s="59"/>
      <c r="AE910" s="59"/>
      <c r="AF910" s="59"/>
      <c r="AG910" s="59"/>
      <c r="AH910" s="59"/>
      <c r="AI910" s="59"/>
    </row>
    <row r="911" spans="1:35" ht="12.5">
      <c r="A911" s="59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  <c r="AA911" s="59"/>
      <c r="AB911" s="59"/>
      <c r="AC911" s="59"/>
      <c r="AD911" s="59"/>
      <c r="AE911" s="59"/>
      <c r="AF911" s="59"/>
      <c r="AG911" s="59"/>
      <c r="AH911" s="59"/>
      <c r="AI911" s="59"/>
    </row>
    <row r="912" spans="1:35" ht="12.5">
      <c r="A912" s="59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  <c r="AA912" s="59"/>
      <c r="AB912" s="59"/>
      <c r="AC912" s="59"/>
      <c r="AD912" s="59"/>
      <c r="AE912" s="59"/>
      <c r="AF912" s="59"/>
      <c r="AG912" s="59"/>
      <c r="AH912" s="59"/>
      <c r="AI912" s="59"/>
    </row>
    <row r="913" spans="1:35" ht="12.5">
      <c r="A913" s="59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  <c r="AA913" s="59"/>
      <c r="AB913" s="59"/>
      <c r="AC913" s="59"/>
      <c r="AD913" s="59"/>
      <c r="AE913" s="59"/>
      <c r="AF913" s="59"/>
      <c r="AG913" s="59"/>
      <c r="AH913" s="59"/>
      <c r="AI913" s="59"/>
    </row>
    <row r="914" spans="1:35" ht="12.5">
      <c r="A914" s="59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  <c r="AA914" s="59"/>
      <c r="AB914" s="59"/>
      <c r="AC914" s="59"/>
      <c r="AD914" s="59"/>
      <c r="AE914" s="59"/>
      <c r="AF914" s="59"/>
      <c r="AG914" s="59"/>
      <c r="AH914" s="59"/>
      <c r="AI914" s="59"/>
    </row>
    <row r="915" spans="1:35" ht="12.5">
      <c r="A915" s="59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  <c r="AA915" s="59"/>
      <c r="AB915" s="59"/>
      <c r="AC915" s="59"/>
      <c r="AD915" s="59"/>
      <c r="AE915" s="59"/>
      <c r="AF915" s="59"/>
      <c r="AG915" s="59"/>
      <c r="AH915" s="59"/>
      <c r="AI915" s="59"/>
    </row>
    <row r="916" spans="1:35" ht="12.5">
      <c r="A916" s="59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  <c r="AA916" s="59"/>
      <c r="AB916" s="59"/>
      <c r="AC916" s="59"/>
      <c r="AD916" s="59"/>
      <c r="AE916" s="59"/>
      <c r="AF916" s="59"/>
      <c r="AG916" s="59"/>
      <c r="AH916" s="59"/>
      <c r="AI916" s="59"/>
    </row>
    <row r="917" spans="1:35" ht="12.5">
      <c r="A917" s="59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  <c r="AA917" s="59"/>
      <c r="AB917" s="59"/>
      <c r="AC917" s="59"/>
      <c r="AD917" s="59"/>
      <c r="AE917" s="59"/>
      <c r="AF917" s="59"/>
      <c r="AG917" s="59"/>
      <c r="AH917" s="59"/>
      <c r="AI917" s="59"/>
    </row>
    <row r="918" spans="1:35" ht="12.5">
      <c r="A918" s="59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  <c r="AA918" s="59"/>
      <c r="AB918" s="59"/>
      <c r="AC918" s="59"/>
      <c r="AD918" s="59"/>
      <c r="AE918" s="59"/>
      <c r="AF918" s="59"/>
      <c r="AG918" s="59"/>
      <c r="AH918" s="59"/>
      <c r="AI918" s="59"/>
    </row>
    <row r="919" spans="1:35" ht="12.5">
      <c r="A919" s="59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  <c r="AA919" s="59"/>
      <c r="AB919" s="59"/>
      <c r="AC919" s="59"/>
      <c r="AD919" s="59"/>
      <c r="AE919" s="59"/>
      <c r="AF919" s="59"/>
      <c r="AG919" s="59"/>
      <c r="AH919" s="59"/>
      <c r="AI919" s="59"/>
    </row>
    <row r="920" spans="1:35" ht="12.5">
      <c r="A920" s="59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  <c r="AA920" s="59"/>
      <c r="AB920" s="59"/>
      <c r="AC920" s="59"/>
      <c r="AD920" s="59"/>
      <c r="AE920" s="59"/>
      <c r="AF920" s="59"/>
      <c r="AG920" s="59"/>
      <c r="AH920" s="59"/>
      <c r="AI920" s="59"/>
    </row>
    <row r="921" spans="1:35" ht="12.5">
      <c r="A921" s="59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  <c r="AA921" s="59"/>
      <c r="AB921" s="59"/>
      <c r="AC921" s="59"/>
      <c r="AD921" s="59"/>
      <c r="AE921" s="59"/>
      <c r="AF921" s="59"/>
      <c r="AG921" s="59"/>
      <c r="AH921" s="59"/>
      <c r="AI921" s="59"/>
    </row>
    <row r="922" spans="1:35" ht="12.5">
      <c r="A922" s="59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  <c r="AA922" s="59"/>
      <c r="AB922" s="59"/>
      <c r="AC922" s="59"/>
      <c r="AD922" s="59"/>
      <c r="AE922" s="59"/>
      <c r="AF922" s="59"/>
      <c r="AG922" s="59"/>
      <c r="AH922" s="59"/>
      <c r="AI922" s="59"/>
    </row>
    <row r="923" spans="1:35" ht="12.5">
      <c r="A923" s="59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  <c r="AA923" s="59"/>
      <c r="AB923" s="59"/>
      <c r="AC923" s="59"/>
      <c r="AD923" s="59"/>
      <c r="AE923" s="59"/>
      <c r="AF923" s="59"/>
      <c r="AG923" s="59"/>
      <c r="AH923" s="59"/>
      <c r="AI923" s="59"/>
    </row>
    <row r="924" spans="1:35" ht="12.5">
      <c r="A924" s="59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  <c r="AA924" s="59"/>
      <c r="AB924" s="59"/>
      <c r="AC924" s="59"/>
      <c r="AD924" s="59"/>
      <c r="AE924" s="59"/>
      <c r="AF924" s="59"/>
      <c r="AG924" s="59"/>
      <c r="AH924" s="59"/>
      <c r="AI924" s="59"/>
    </row>
    <row r="925" spans="1:35" ht="12.5">
      <c r="A925" s="59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  <c r="AA925" s="59"/>
      <c r="AB925" s="59"/>
      <c r="AC925" s="59"/>
      <c r="AD925" s="59"/>
      <c r="AE925" s="59"/>
      <c r="AF925" s="59"/>
      <c r="AG925" s="59"/>
      <c r="AH925" s="59"/>
      <c r="AI925" s="59"/>
    </row>
    <row r="926" spans="1:35" ht="12.5">
      <c r="A926" s="59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  <c r="AA926" s="59"/>
      <c r="AB926" s="59"/>
      <c r="AC926" s="59"/>
      <c r="AD926" s="59"/>
      <c r="AE926" s="59"/>
      <c r="AF926" s="59"/>
      <c r="AG926" s="59"/>
      <c r="AH926" s="59"/>
      <c r="AI926" s="59"/>
    </row>
    <row r="927" spans="1:35" ht="12.5">
      <c r="A927" s="59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  <c r="AA927" s="59"/>
      <c r="AB927" s="59"/>
      <c r="AC927" s="59"/>
      <c r="AD927" s="59"/>
      <c r="AE927" s="59"/>
      <c r="AF927" s="59"/>
      <c r="AG927" s="59"/>
      <c r="AH927" s="59"/>
      <c r="AI927" s="59"/>
    </row>
    <row r="928" spans="1:35" ht="12.5">
      <c r="A928" s="59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  <c r="AA928" s="59"/>
      <c r="AB928" s="59"/>
      <c r="AC928" s="59"/>
      <c r="AD928" s="59"/>
      <c r="AE928" s="59"/>
      <c r="AF928" s="59"/>
      <c r="AG928" s="59"/>
      <c r="AH928" s="59"/>
      <c r="AI928" s="59"/>
    </row>
    <row r="929" spans="1:35" ht="12.5">
      <c r="A929" s="59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  <c r="AA929" s="59"/>
      <c r="AB929" s="59"/>
      <c r="AC929" s="59"/>
      <c r="AD929" s="59"/>
      <c r="AE929" s="59"/>
      <c r="AF929" s="59"/>
      <c r="AG929" s="59"/>
      <c r="AH929" s="59"/>
      <c r="AI929" s="59"/>
    </row>
    <row r="930" spans="1:35" ht="12.5">
      <c r="A930" s="59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  <c r="AA930" s="59"/>
      <c r="AB930" s="59"/>
      <c r="AC930" s="59"/>
      <c r="AD930" s="59"/>
      <c r="AE930" s="59"/>
      <c r="AF930" s="59"/>
      <c r="AG930" s="59"/>
      <c r="AH930" s="59"/>
      <c r="AI930" s="59"/>
    </row>
    <row r="931" spans="1:35" ht="12.5">
      <c r="A931" s="59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  <c r="AA931" s="59"/>
      <c r="AB931" s="59"/>
      <c r="AC931" s="59"/>
      <c r="AD931" s="59"/>
      <c r="AE931" s="59"/>
      <c r="AF931" s="59"/>
      <c r="AG931" s="59"/>
      <c r="AH931" s="59"/>
      <c r="AI931" s="59"/>
    </row>
    <row r="932" spans="1:35" ht="12.5">
      <c r="A932" s="59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  <c r="AA932" s="59"/>
      <c r="AB932" s="59"/>
      <c r="AC932" s="59"/>
      <c r="AD932" s="59"/>
      <c r="AE932" s="59"/>
      <c r="AF932" s="59"/>
      <c r="AG932" s="59"/>
      <c r="AH932" s="59"/>
      <c r="AI932" s="59"/>
    </row>
    <row r="933" spans="1:35" ht="12.5">
      <c r="A933" s="59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  <c r="AA933" s="59"/>
      <c r="AB933" s="59"/>
      <c r="AC933" s="59"/>
      <c r="AD933" s="59"/>
      <c r="AE933" s="59"/>
      <c r="AF933" s="59"/>
      <c r="AG933" s="59"/>
      <c r="AH933" s="59"/>
      <c r="AI933" s="59"/>
    </row>
    <row r="934" spans="1:35" ht="12.5">
      <c r="A934" s="59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  <c r="AA934" s="59"/>
      <c r="AB934" s="59"/>
      <c r="AC934" s="59"/>
      <c r="AD934" s="59"/>
      <c r="AE934" s="59"/>
      <c r="AF934" s="59"/>
      <c r="AG934" s="59"/>
      <c r="AH934" s="59"/>
      <c r="AI934" s="59"/>
    </row>
    <row r="935" spans="1:35" ht="12.5">
      <c r="A935" s="59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  <c r="AA935" s="59"/>
      <c r="AB935" s="59"/>
      <c r="AC935" s="59"/>
      <c r="AD935" s="59"/>
      <c r="AE935" s="59"/>
      <c r="AF935" s="59"/>
      <c r="AG935" s="59"/>
      <c r="AH935" s="59"/>
      <c r="AI935" s="59"/>
    </row>
    <row r="936" spans="1:35" ht="12.5">
      <c r="A936" s="59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  <c r="AA936" s="59"/>
      <c r="AB936" s="59"/>
      <c r="AC936" s="59"/>
      <c r="AD936" s="59"/>
      <c r="AE936" s="59"/>
      <c r="AF936" s="59"/>
      <c r="AG936" s="59"/>
      <c r="AH936" s="59"/>
      <c r="AI936" s="59"/>
    </row>
    <row r="937" spans="1:35" ht="12.5">
      <c r="A937" s="59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  <c r="AA937" s="59"/>
      <c r="AB937" s="59"/>
      <c r="AC937" s="59"/>
      <c r="AD937" s="59"/>
      <c r="AE937" s="59"/>
      <c r="AF937" s="59"/>
      <c r="AG937" s="59"/>
      <c r="AH937" s="59"/>
      <c r="AI937" s="59"/>
    </row>
    <row r="938" spans="1:35" ht="12.5">
      <c r="A938" s="59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  <c r="AA938" s="59"/>
      <c r="AB938" s="59"/>
      <c r="AC938" s="59"/>
      <c r="AD938" s="59"/>
      <c r="AE938" s="59"/>
      <c r="AF938" s="59"/>
      <c r="AG938" s="59"/>
      <c r="AH938" s="59"/>
      <c r="AI938" s="59"/>
    </row>
    <row r="939" spans="1:35" ht="12.5">
      <c r="A939" s="59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  <c r="AA939" s="59"/>
      <c r="AB939" s="59"/>
      <c r="AC939" s="59"/>
      <c r="AD939" s="59"/>
      <c r="AE939" s="59"/>
      <c r="AF939" s="59"/>
      <c r="AG939" s="59"/>
      <c r="AH939" s="59"/>
      <c r="AI939" s="59"/>
    </row>
    <row r="940" spans="1:35" ht="12.5">
      <c r="A940" s="59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  <c r="AA940" s="59"/>
      <c r="AB940" s="59"/>
      <c r="AC940" s="59"/>
      <c r="AD940" s="59"/>
      <c r="AE940" s="59"/>
      <c r="AF940" s="59"/>
      <c r="AG940" s="59"/>
      <c r="AH940" s="59"/>
      <c r="AI940" s="59"/>
    </row>
    <row r="941" spans="1:35" ht="12.5">
      <c r="A941" s="59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  <c r="AA941" s="59"/>
      <c r="AB941" s="59"/>
      <c r="AC941" s="59"/>
      <c r="AD941" s="59"/>
      <c r="AE941" s="59"/>
      <c r="AF941" s="59"/>
      <c r="AG941" s="59"/>
      <c r="AH941" s="59"/>
      <c r="AI941" s="59"/>
    </row>
    <row r="942" spans="1:35" ht="12.5">
      <c r="A942" s="59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  <c r="AA942" s="59"/>
      <c r="AB942" s="59"/>
      <c r="AC942" s="59"/>
      <c r="AD942" s="59"/>
      <c r="AE942" s="59"/>
      <c r="AF942" s="59"/>
      <c r="AG942" s="59"/>
      <c r="AH942" s="59"/>
      <c r="AI942" s="59"/>
    </row>
    <row r="943" spans="1:35" ht="12.5">
      <c r="A943" s="59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  <c r="AA943" s="59"/>
      <c r="AB943" s="59"/>
      <c r="AC943" s="59"/>
      <c r="AD943" s="59"/>
      <c r="AE943" s="59"/>
      <c r="AF943" s="59"/>
      <c r="AG943" s="59"/>
      <c r="AH943" s="59"/>
      <c r="AI943" s="59"/>
    </row>
    <row r="944" spans="1:35" ht="12.5">
      <c r="A944" s="59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  <c r="AA944" s="59"/>
      <c r="AB944" s="59"/>
      <c r="AC944" s="59"/>
      <c r="AD944" s="59"/>
      <c r="AE944" s="59"/>
      <c r="AF944" s="59"/>
      <c r="AG944" s="59"/>
      <c r="AH944" s="59"/>
      <c r="AI944" s="59"/>
    </row>
    <row r="945" spans="1:35" ht="12.5">
      <c r="A945" s="59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  <c r="AA945" s="59"/>
      <c r="AB945" s="59"/>
      <c r="AC945" s="59"/>
      <c r="AD945" s="59"/>
      <c r="AE945" s="59"/>
      <c r="AF945" s="59"/>
      <c r="AG945" s="59"/>
      <c r="AH945" s="59"/>
      <c r="AI945" s="59"/>
    </row>
    <row r="946" spans="1:35" ht="12.5">
      <c r="A946" s="59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  <c r="AA946" s="59"/>
      <c r="AB946" s="59"/>
      <c r="AC946" s="59"/>
      <c r="AD946" s="59"/>
      <c r="AE946" s="59"/>
      <c r="AF946" s="59"/>
      <c r="AG946" s="59"/>
      <c r="AH946" s="59"/>
      <c r="AI946" s="59"/>
    </row>
    <row r="947" spans="1:35" ht="12.5">
      <c r="A947" s="59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  <c r="AA947" s="59"/>
      <c r="AB947" s="59"/>
      <c r="AC947" s="59"/>
      <c r="AD947" s="59"/>
      <c r="AE947" s="59"/>
      <c r="AF947" s="59"/>
      <c r="AG947" s="59"/>
      <c r="AH947" s="59"/>
      <c r="AI947" s="59"/>
    </row>
    <row r="948" spans="1:35" ht="12.5">
      <c r="A948" s="59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  <c r="AA948" s="59"/>
      <c r="AB948" s="59"/>
      <c r="AC948" s="59"/>
      <c r="AD948" s="59"/>
      <c r="AE948" s="59"/>
      <c r="AF948" s="59"/>
      <c r="AG948" s="59"/>
      <c r="AH948" s="59"/>
      <c r="AI948" s="59"/>
    </row>
    <row r="949" spans="1:35" ht="12.5">
      <c r="A949" s="59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  <c r="AA949" s="59"/>
      <c r="AB949" s="59"/>
      <c r="AC949" s="59"/>
      <c r="AD949" s="59"/>
      <c r="AE949" s="59"/>
      <c r="AF949" s="59"/>
      <c r="AG949" s="59"/>
      <c r="AH949" s="59"/>
      <c r="AI949" s="59"/>
    </row>
    <row r="950" spans="1:35" ht="12.5">
      <c r="A950" s="59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  <c r="AA950" s="59"/>
      <c r="AB950" s="59"/>
      <c r="AC950" s="59"/>
      <c r="AD950" s="59"/>
      <c r="AE950" s="59"/>
      <c r="AF950" s="59"/>
      <c r="AG950" s="59"/>
      <c r="AH950" s="59"/>
      <c r="AI950" s="59"/>
    </row>
    <row r="951" spans="1:35" ht="12.5">
      <c r="A951" s="59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  <c r="AA951" s="59"/>
      <c r="AB951" s="59"/>
      <c r="AC951" s="59"/>
      <c r="AD951" s="59"/>
      <c r="AE951" s="59"/>
      <c r="AF951" s="59"/>
      <c r="AG951" s="59"/>
      <c r="AH951" s="59"/>
      <c r="AI951" s="59"/>
    </row>
    <row r="952" spans="1:35" ht="12.5">
      <c r="A952" s="59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  <c r="AA952" s="59"/>
      <c r="AB952" s="59"/>
      <c r="AC952" s="59"/>
      <c r="AD952" s="59"/>
      <c r="AE952" s="59"/>
      <c r="AF952" s="59"/>
      <c r="AG952" s="59"/>
      <c r="AH952" s="59"/>
      <c r="AI952" s="59"/>
    </row>
    <row r="953" spans="1:35" ht="12.5">
      <c r="A953" s="59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  <c r="AA953" s="59"/>
      <c r="AB953" s="59"/>
      <c r="AC953" s="59"/>
      <c r="AD953" s="59"/>
      <c r="AE953" s="59"/>
      <c r="AF953" s="59"/>
      <c r="AG953" s="59"/>
      <c r="AH953" s="59"/>
      <c r="AI953" s="59"/>
    </row>
    <row r="954" spans="1:35" ht="12.5">
      <c r="A954" s="59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  <c r="AA954" s="59"/>
      <c r="AB954" s="59"/>
      <c r="AC954" s="59"/>
      <c r="AD954" s="59"/>
      <c r="AE954" s="59"/>
      <c r="AF954" s="59"/>
      <c r="AG954" s="59"/>
      <c r="AH954" s="59"/>
      <c r="AI954" s="59"/>
    </row>
    <row r="955" spans="1:35" ht="12.5">
      <c r="A955" s="59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  <c r="AA955" s="59"/>
      <c r="AB955" s="59"/>
      <c r="AC955" s="59"/>
      <c r="AD955" s="59"/>
      <c r="AE955" s="59"/>
      <c r="AF955" s="59"/>
      <c r="AG955" s="59"/>
      <c r="AH955" s="59"/>
      <c r="AI955" s="59"/>
    </row>
    <row r="956" spans="1:35" ht="12.5">
      <c r="A956" s="59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  <c r="AA956" s="59"/>
      <c r="AB956" s="59"/>
      <c r="AC956" s="59"/>
      <c r="AD956" s="59"/>
      <c r="AE956" s="59"/>
      <c r="AF956" s="59"/>
      <c r="AG956" s="59"/>
      <c r="AH956" s="59"/>
      <c r="AI956" s="59"/>
    </row>
    <row r="957" spans="1:35" ht="12.5">
      <c r="A957" s="59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  <c r="AA957" s="59"/>
      <c r="AB957" s="59"/>
      <c r="AC957" s="59"/>
      <c r="AD957" s="59"/>
      <c r="AE957" s="59"/>
      <c r="AF957" s="59"/>
      <c r="AG957" s="59"/>
      <c r="AH957" s="59"/>
      <c r="AI957" s="59"/>
    </row>
    <row r="958" spans="1:35" ht="12.5">
      <c r="A958" s="59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  <c r="AA958" s="59"/>
      <c r="AB958" s="59"/>
      <c r="AC958" s="59"/>
      <c r="AD958" s="59"/>
      <c r="AE958" s="59"/>
      <c r="AF958" s="59"/>
      <c r="AG958" s="59"/>
      <c r="AH958" s="59"/>
      <c r="AI958" s="59"/>
    </row>
    <row r="959" spans="1:35" ht="12.5">
      <c r="A959" s="59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  <c r="AA959" s="59"/>
      <c r="AB959" s="59"/>
      <c r="AC959" s="59"/>
      <c r="AD959" s="59"/>
      <c r="AE959" s="59"/>
      <c r="AF959" s="59"/>
      <c r="AG959" s="59"/>
      <c r="AH959" s="59"/>
      <c r="AI959" s="59"/>
    </row>
    <row r="960" spans="1:35" ht="12.5">
      <c r="A960" s="59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  <c r="AA960" s="59"/>
      <c r="AB960" s="59"/>
      <c r="AC960" s="59"/>
      <c r="AD960" s="59"/>
      <c r="AE960" s="59"/>
      <c r="AF960" s="59"/>
      <c r="AG960" s="59"/>
      <c r="AH960" s="59"/>
      <c r="AI960" s="59"/>
    </row>
    <row r="961" spans="1:35" ht="12.5">
      <c r="A961" s="59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  <c r="AA961" s="59"/>
      <c r="AB961" s="59"/>
      <c r="AC961" s="59"/>
      <c r="AD961" s="59"/>
      <c r="AE961" s="59"/>
      <c r="AF961" s="59"/>
      <c r="AG961" s="59"/>
      <c r="AH961" s="59"/>
      <c r="AI961" s="59"/>
    </row>
    <row r="962" spans="1:35" ht="12.5">
      <c r="A962" s="59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  <c r="AA962" s="59"/>
      <c r="AB962" s="59"/>
      <c r="AC962" s="59"/>
      <c r="AD962" s="59"/>
      <c r="AE962" s="59"/>
      <c r="AF962" s="59"/>
      <c r="AG962" s="59"/>
      <c r="AH962" s="59"/>
      <c r="AI962" s="59"/>
    </row>
    <row r="963" spans="1:35" ht="12.5">
      <c r="A963" s="59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  <c r="AA963" s="59"/>
      <c r="AB963" s="59"/>
      <c r="AC963" s="59"/>
      <c r="AD963" s="59"/>
      <c r="AE963" s="59"/>
      <c r="AF963" s="59"/>
      <c r="AG963" s="59"/>
      <c r="AH963" s="59"/>
      <c r="AI963" s="59"/>
    </row>
    <row r="964" spans="1:35" ht="12.5">
      <c r="A964" s="59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  <c r="AA964" s="59"/>
      <c r="AB964" s="59"/>
      <c r="AC964" s="59"/>
      <c r="AD964" s="59"/>
      <c r="AE964" s="59"/>
      <c r="AF964" s="59"/>
      <c r="AG964" s="59"/>
      <c r="AH964" s="59"/>
      <c r="AI964" s="59"/>
    </row>
    <row r="965" spans="1:35" ht="12.5">
      <c r="A965" s="59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  <c r="AA965" s="59"/>
      <c r="AB965" s="59"/>
      <c r="AC965" s="59"/>
      <c r="AD965" s="59"/>
      <c r="AE965" s="59"/>
      <c r="AF965" s="59"/>
      <c r="AG965" s="59"/>
      <c r="AH965" s="59"/>
      <c r="AI965" s="59"/>
    </row>
    <row r="966" spans="1:35" ht="12.5">
      <c r="A966" s="59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  <c r="AA966" s="59"/>
      <c r="AB966" s="59"/>
      <c r="AC966" s="59"/>
      <c r="AD966" s="59"/>
      <c r="AE966" s="59"/>
      <c r="AF966" s="59"/>
      <c r="AG966" s="59"/>
      <c r="AH966" s="59"/>
      <c r="AI966" s="59"/>
    </row>
    <row r="967" spans="1:35" ht="12.5">
      <c r="A967" s="59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  <c r="AA967" s="59"/>
      <c r="AB967" s="59"/>
      <c r="AC967" s="59"/>
      <c r="AD967" s="59"/>
      <c r="AE967" s="59"/>
      <c r="AF967" s="59"/>
      <c r="AG967" s="59"/>
      <c r="AH967" s="59"/>
      <c r="AI967" s="59"/>
    </row>
    <row r="968" spans="1:35" ht="12.5">
      <c r="A968" s="59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  <c r="AA968" s="59"/>
      <c r="AB968" s="59"/>
      <c r="AC968" s="59"/>
      <c r="AD968" s="59"/>
      <c r="AE968" s="59"/>
      <c r="AF968" s="59"/>
      <c r="AG968" s="59"/>
      <c r="AH968" s="59"/>
      <c r="AI968" s="59"/>
    </row>
    <row r="969" spans="1:35" ht="12.5">
      <c r="A969" s="59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  <c r="AA969" s="59"/>
      <c r="AB969" s="59"/>
      <c r="AC969" s="59"/>
      <c r="AD969" s="59"/>
      <c r="AE969" s="59"/>
      <c r="AF969" s="59"/>
      <c r="AG969" s="59"/>
      <c r="AH969" s="59"/>
      <c r="AI969" s="59"/>
    </row>
    <row r="970" spans="1:35" ht="12.5">
      <c r="A970" s="59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  <c r="AA970" s="59"/>
      <c r="AB970" s="59"/>
      <c r="AC970" s="59"/>
      <c r="AD970" s="59"/>
      <c r="AE970" s="59"/>
      <c r="AF970" s="59"/>
      <c r="AG970" s="59"/>
      <c r="AH970" s="59"/>
      <c r="AI970" s="59"/>
    </row>
    <row r="971" spans="1:35" ht="12.5">
      <c r="A971" s="59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  <c r="AA971" s="59"/>
      <c r="AB971" s="59"/>
      <c r="AC971" s="59"/>
      <c r="AD971" s="59"/>
      <c r="AE971" s="59"/>
      <c r="AF971" s="59"/>
      <c r="AG971" s="59"/>
      <c r="AH971" s="59"/>
      <c r="AI971" s="59"/>
    </row>
    <row r="972" spans="1:35" ht="12.5">
      <c r="A972" s="59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  <c r="AA972" s="59"/>
      <c r="AB972" s="59"/>
      <c r="AC972" s="59"/>
      <c r="AD972" s="59"/>
      <c r="AE972" s="59"/>
      <c r="AF972" s="59"/>
      <c r="AG972" s="59"/>
      <c r="AH972" s="59"/>
      <c r="AI972" s="59"/>
    </row>
    <row r="973" spans="1:35" ht="12.5">
      <c r="A973" s="59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  <c r="AA973" s="59"/>
      <c r="AB973" s="59"/>
      <c r="AC973" s="59"/>
      <c r="AD973" s="59"/>
      <c r="AE973" s="59"/>
      <c r="AF973" s="59"/>
      <c r="AG973" s="59"/>
      <c r="AH973" s="59"/>
      <c r="AI973" s="59"/>
    </row>
    <row r="974" spans="1:35" ht="12.5">
      <c r="A974" s="59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  <c r="AA974" s="59"/>
      <c r="AB974" s="59"/>
      <c r="AC974" s="59"/>
      <c r="AD974" s="59"/>
      <c r="AE974" s="59"/>
      <c r="AF974" s="59"/>
      <c r="AG974" s="59"/>
      <c r="AH974" s="59"/>
      <c r="AI974" s="59"/>
    </row>
    <row r="975" spans="1:35" ht="12.5">
      <c r="A975" s="59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  <c r="AA975" s="59"/>
      <c r="AB975" s="59"/>
      <c r="AC975" s="59"/>
      <c r="AD975" s="59"/>
      <c r="AE975" s="59"/>
      <c r="AF975" s="59"/>
      <c r="AG975" s="59"/>
      <c r="AH975" s="59"/>
      <c r="AI975" s="59"/>
    </row>
    <row r="976" spans="1:35" ht="12.5">
      <c r="A976" s="59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  <c r="AA976" s="59"/>
      <c r="AB976" s="59"/>
      <c r="AC976" s="59"/>
      <c r="AD976" s="59"/>
      <c r="AE976" s="59"/>
      <c r="AF976" s="59"/>
      <c r="AG976" s="59"/>
      <c r="AH976" s="59"/>
      <c r="AI976" s="59"/>
    </row>
    <row r="977" spans="1:35" ht="12.5">
      <c r="A977" s="59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  <c r="AA977" s="59"/>
      <c r="AB977" s="59"/>
      <c r="AC977" s="59"/>
      <c r="AD977" s="59"/>
      <c r="AE977" s="59"/>
      <c r="AF977" s="59"/>
      <c r="AG977" s="59"/>
      <c r="AH977" s="59"/>
      <c r="AI977" s="59"/>
    </row>
    <row r="978" spans="1:35" ht="12.5">
      <c r="A978" s="59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  <c r="AA978" s="59"/>
      <c r="AB978" s="59"/>
      <c r="AC978" s="59"/>
      <c r="AD978" s="59"/>
      <c r="AE978" s="59"/>
      <c r="AF978" s="59"/>
      <c r="AG978" s="59"/>
      <c r="AH978" s="59"/>
      <c r="AI978" s="59"/>
    </row>
    <row r="979" spans="1:35" ht="12.5">
      <c r="A979" s="59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  <c r="AA979" s="59"/>
      <c r="AB979" s="59"/>
      <c r="AC979" s="59"/>
      <c r="AD979" s="59"/>
      <c r="AE979" s="59"/>
      <c r="AF979" s="59"/>
      <c r="AG979" s="59"/>
      <c r="AH979" s="59"/>
      <c r="AI979" s="59"/>
    </row>
    <row r="980" spans="1:35" ht="12.5">
      <c r="A980" s="59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  <c r="AA980" s="59"/>
      <c r="AB980" s="59"/>
      <c r="AC980" s="59"/>
      <c r="AD980" s="59"/>
      <c r="AE980" s="59"/>
      <c r="AF980" s="59"/>
      <c r="AG980" s="59"/>
      <c r="AH980" s="59"/>
      <c r="AI980" s="59"/>
    </row>
    <row r="981" spans="1:35" ht="12.5">
      <c r="A981" s="59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  <c r="AA981" s="59"/>
      <c r="AB981" s="59"/>
      <c r="AC981" s="59"/>
      <c r="AD981" s="59"/>
      <c r="AE981" s="59"/>
      <c r="AF981" s="59"/>
      <c r="AG981" s="59"/>
      <c r="AH981" s="59"/>
      <c r="AI981" s="59"/>
    </row>
    <row r="982" spans="1:35" ht="12.5">
      <c r="A982" s="59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  <c r="AA982" s="59"/>
      <c r="AB982" s="59"/>
      <c r="AC982" s="59"/>
      <c r="AD982" s="59"/>
      <c r="AE982" s="59"/>
      <c r="AF982" s="59"/>
      <c r="AG982" s="59"/>
      <c r="AH982" s="59"/>
      <c r="AI982" s="59"/>
    </row>
    <row r="983" spans="1:35" ht="12.5">
      <c r="A983" s="59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  <c r="AA983" s="59"/>
      <c r="AB983" s="59"/>
      <c r="AC983" s="59"/>
      <c r="AD983" s="59"/>
      <c r="AE983" s="59"/>
      <c r="AF983" s="59"/>
      <c r="AG983" s="59"/>
      <c r="AH983" s="59"/>
      <c r="AI983" s="59"/>
    </row>
    <row r="984" spans="1:35" ht="12.5">
      <c r="A984" s="59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  <c r="AA984" s="59"/>
      <c r="AB984" s="59"/>
      <c r="AC984" s="59"/>
      <c r="AD984" s="59"/>
      <c r="AE984" s="59"/>
      <c r="AF984" s="59"/>
      <c r="AG984" s="59"/>
      <c r="AH984" s="59"/>
      <c r="AI984" s="59"/>
    </row>
    <row r="985" spans="1:35" ht="12.5">
      <c r="A985" s="59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  <c r="AA985" s="59"/>
      <c r="AB985" s="59"/>
      <c r="AC985" s="59"/>
      <c r="AD985" s="59"/>
      <c r="AE985" s="59"/>
      <c r="AF985" s="59"/>
      <c r="AG985" s="59"/>
      <c r="AH985" s="59"/>
      <c r="AI985" s="59"/>
    </row>
    <row r="986" spans="1:35" ht="12.5">
      <c r="A986" s="59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  <c r="AA986" s="59"/>
      <c r="AB986" s="59"/>
      <c r="AC986" s="59"/>
      <c r="AD986" s="59"/>
      <c r="AE986" s="59"/>
      <c r="AF986" s="59"/>
      <c r="AG986" s="59"/>
      <c r="AH986" s="59"/>
      <c r="AI986" s="59"/>
    </row>
    <row r="987" spans="1:35" ht="12.5">
      <c r="A987" s="59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  <c r="AA987" s="59"/>
      <c r="AB987" s="59"/>
      <c r="AC987" s="59"/>
      <c r="AD987" s="59"/>
      <c r="AE987" s="59"/>
      <c r="AF987" s="59"/>
      <c r="AG987" s="59"/>
      <c r="AH987" s="59"/>
      <c r="AI987" s="59"/>
    </row>
    <row r="988" spans="1:35" ht="12.5">
      <c r="A988" s="59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  <c r="AA988" s="59"/>
      <c r="AB988" s="59"/>
      <c r="AC988" s="59"/>
      <c r="AD988" s="59"/>
      <c r="AE988" s="59"/>
      <c r="AF988" s="59"/>
      <c r="AG988" s="59"/>
      <c r="AH988" s="59"/>
      <c r="AI988" s="59"/>
    </row>
    <row r="989" spans="1:35" ht="12.5">
      <c r="A989" s="59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  <c r="AA989" s="59"/>
      <c r="AB989" s="59"/>
      <c r="AC989" s="59"/>
      <c r="AD989" s="59"/>
      <c r="AE989" s="59"/>
      <c r="AF989" s="59"/>
      <c r="AG989" s="59"/>
      <c r="AH989" s="59"/>
      <c r="AI989" s="59"/>
    </row>
    <row r="990" spans="1:35" ht="12.5">
      <c r="A990" s="59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  <c r="AA990" s="59"/>
      <c r="AB990" s="59"/>
      <c r="AC990" s="59"/>
      <c r="AD990" s="59"/>
      <c r="AE990" s="59"/>
      <c r="AF990" s="59"/>
      <c r="AG990" s="59"/>
      <c r="AH990" s="59"/>
      <c r="AI990" s="59"/>
    </row>
    <row r="991" spans="1:35" ht="12.5">
      <c r="A991" s="59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59"/>
      <c r="AA991" s="59"/>
      <c r="AB991" s="59"/>
      <c r="AC991" s="59"/>
      <c r="AD991" s="59"/>
      <c r="AE991" s="59"/>
      <c r="AF991" s="59"/>
      <c r="AG991" s="59"/>
      <c r="AH991" s="59"/>
      <c r="AI991" s="59"/>
    </row>
    <row r="992" spans="1:35" ht="12.5">
      <c r="A992" s="59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59"/>
      <c r="AA992" s="59"/>
      <c r="AB992" s="59"/>
      <c r="AC992" s="59"/>
      <c r="AD992" s="59"/>
      <c r="AE992" s="59"/>
      <c r="AF992" s="59"/>
      <c r="AG992" s="59"/>
      <c r="AH992" s="59"/>
      <c r="AI992" s="59"/>
    </row>
    <row r="993" spans="1:35" ht="12.5">
      <c r="A993" s="59"/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  <c r="AA993" s="59"/>
      <c r="AB993" s="59"/>
      <c r="AC993" s="59"/>
      <c r="AD993" s="59"/>
      <c r="AE993" s="59"/>
      <c r="AF993" s="59"/>
      <c r="AG993" s="59"/>
      <c r="AH993" s="59"/>
      <c r="AI993" s="59"/>
    </row>
    <row r="994" spans="1:35" ht="12.5">
      <c r="A994" s="59"/>
      <c r="B994" s="59"/>
      <c r="C994" s="59"/>
      <c r="D994" s="59"/>
      <c r="E994" s="59"/>
      <c r="F994" s="59"/>
      <c r="G994" s="59"/>
      <c r="H994" s="59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  <c r="W994" s="59"/>
      <c r="X994" s="59"/>
      <c r="Y994" s="59"/>
      <c r="Z994" s="59"/>
      <c r="AA994" s="59"/>
      <c r="AB994" s="59"/>
      <c r="AC994" s="59"/>
      <c r="AD994" s="59"/>
      <c r="AE994" s="59"/>
      <c r="AF994" s="59"/>
      <c r="AG994" s="59"/>
      <c r="AH994" s="59"/>
      <c r="AI994" s="59"/>
    </row>
    <row r="995" spans="1:35" ht="12.5">
      <c r="A995" s="59"/>
      <c r="B995" s="59"/>
      <c r="C995" s="59"/>
      <c r="D995" s="59"/>
      <c r="E995" s="59"/>
      <c r="F995" s="59"/>
      <c r="G995" s="59"/>
      <c r="H995" s="59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  <c r="W995" s="59"/>
      <c r="X995" s="59"/>
      <c r="Y995" s="59"/>
      <c r="Z995" s="59"/>
      <c r="AA995" s="59"/>
      <c r="AB995" s="59"/>
      <c r="AC995" s="59"/>
      <c r="AD995" s="59"/>
      <c r="AE995" s="59"/>
      <c r="AF995" s="59"/>
      <c r="AG995" s="59"/>
      <c r="AH995" s="59"/>
      <c r="AI995" s="59"/>
    </row>
    <row r="996" spans="1:35" ht="12.5">
      <c r="A996" s="59"/>
      <c r="B996" s="59"/>
      <c r="C996" s="59"/>
      <c r="D996" s="59"/>
      <c r="E996" s="59"/>
      <c r="F996" s="59"/>
      <c r="G996" s="59"/>
      <c r="H996" s="59"/>
      <c r="I996" s="5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59"/>
      <c r="W996" s="59"/>
      <c r="X996" s="59"/>
      <c r="Y996" s="59"/>
      <c r="Z996" s="59"/>
      <c r="AA996" s="59"/>
      <c r="AB996" s="59"/>
      <c r="AC996" s="59"/>
      <c r="AD996" s="59"/>
      <c r="AE996" s="59"/>
      <c r="AF996" s="59"/>
      <c r="AG996" s="59"/>
      <c r="AH996" s="59"/>
      <c r="AI996" s="59"/>
    </row>
    <row r="997" spans="1:35" ht="12.5">
      <c r="A997" s="59"/>
      <c r="B997" s="59"/>
      <c r="C997" s="59"/>
      <c r="D997" s="59"/>
      <c r="E997" s="59"/>
      <c r="F997" s="59"/>
      <c r="G997" s="59"/>
      <c r="H997" s="59"/>
      <c r="I997" s="59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  <c r="V997" s="59"/>
      <c r="W997" s="59"/>
      <c r="X997" s="59"/>
      <c r="Y997" s="59"/>
      <c r="Z997" s="59"/>
      <c r="AA997" s="59"/>
      <c r="AB997" s="59"/>
      <c r="AC997" s="59"/>
      <c r="AD997" s="59"/>
      <c r="AE997" s="59"/>
      <c r="AF997" s="59"/>
      <c r="AG997" s="59"/>
      <c r="AH997" s="59"/>
      <c r="AI997" s="59"/>
    </row>
    <row r="998" spans="1:35" ht="12.5">
      <c r="A998" s="59"/>
      <c r="B998" s="59"/>
      <c r="C998" s="59"/>
      <c r="D998" s="59"/>
      <c r="E998" s="59"/>
      <c r="F998" s="59"/>
      <c r="G998" s="59"/>
      <c r="H998" s="59"/>
      <c r="I998" s="59"/>
      <c r="J998" s="59"/>
      <c r="K998" s="59"/>
      <c r="L998" s="59"/>
      <c r="M998" s="59"/>
      <c r="N998" s="59"/>
      <c r="O998" s="59"/>
      <c r="P998" s="59"/>
      <c r="Q998" s="59"/>
      <c r="R998" s="59"/>
      <c r="S998" s="59"/>
      <c r="T998" s="59"/>
      <c r="U998" s="59"/>
      <c r="V998" s="59"/>
      <c r="W998" s="59"/>
      <c r="X998" s="59"/>
      <c r="Y998" s="59"/>
      <c r="Z998" s="59"/>
      <c r="AA998" s="59"/>
      <c r="AB998" s="59"/>
      <c r="AC998" s="59"/>
      <c r="AD998" s="59"/>
      <c r="AE998" s="59"/>
      <c r="AF998" s="59"/>
      <c r="AG998" s="59"/>
      <c r="AH998" s="59"/>
      <c r="AI998" s="59"/>
    </row>
    <row r="999" spans="1:35" ht="12.5">
      <c r="A999" s="59"/>
      <c r="B999" s="59"/>
      <c r="C999" s="59"/>
      <c r="D999" s="59"/>
      <c r="E999" s="59"/>
      <c r="F999" s="59"/>
      <c r="G999" s="59"/>
      <c r="H999" s="59"/>
      <c r="I999" s="59"/>
      <c r="J999" s="59"/>
      <c r="K999" s="59"/>
      <c r="L999" s="59"/>
      <c r="M999" s="59"/>
      <c r="N999" s="59"/>
      <c r="O999" s="59"/>
      <c r="P999" s="59"/>
      <c r="Q999" s="59"/>
      <c r="R999" s="59"/>
      <c r="S999" s="59"/>
      <c r="T999" s="59"/>
      <c r="U999" s="59"/>
      <c r="V999" s="59"/>
      <c r="W999" s="59"/>
      <c r="X999" s="59"/>
      <c r="Y999" s="59"/>
      <c r="Z999" s="59"/>
      <c r="AA999" s="59"/>
      <c r="AB999" s="59"/>
      <c r="AC999" s="59"/>
      <c r="AD999" s="59"/>
      <c r="AE999" s="59"/>
      <c r="AF999" s="59"/>
      <c r="AG999" s="59"/>
      <c r="AH999" s="59"/>
      <c r="AI999" s="59"/>
    </row>
    <row r="1000" spans="1:35" ht="12.5">
      <c r="A1000" s="59"/>
      <c r="B1000" s="59"/>
      <c r="C1000" s="59"/>
      <c r="D1000" s="59"/>
      <c r="E1000" s="59"/>
      <c r="F1000" s="59"/>
      <c r="G1000" s="59"/>
      <c r="H1000" s="59"/>
      <c r="I1000" s="59"/>
      <c r="J1000" s="59"/>
      <c r="K1000" s="59"/>
      <c r="L1000" s="59"/>
      <c r="M1000" s="59"/>
      <c r="N1000" s="59"/>
      <c r="O1000" s="59"/>
      <c r="P1000" s="59"/>
      <c r="Q1000" s="59"/>
      <c r="R1000" s="59"/>
      <c r="S1000" s="59"/>
      <c r="T1000" s="59"/>
      <c r="U1000" s="59"/>
      <c r="V1000" s="59"/>
      <c r="W1000" s="59"/>
      <c r="X1000" s="59"/>
      <c r="Y1000" s="59"/>
      <c r="Z1000" s="59"/>
      <c r="AA1000" s="59"/>
      <c r="AB1000" s="59"/>
      <c r="AC1000" s="59"/>
      <c r="AD1000" s="59"/>
      <c r="AE1000" s="59"/>
      <c r="AF1000" s="59"/>
      <c r="AG1000" s="59"/>
      <c r="AH1000" s="59"/>
      <c r="AI1000" s="59"/>
    </row>
  </sheetData>
  <mergeCells count="14">
    <mergeCell ref="V1:Y1"/>
    <mergeCell ref="Z1:AC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Q1"/>
    <mergeCell ref="R1:U1"/>
  </mergeCells>
  <printOptions horizontalCentered="1" gridLines="1"/>
  <pageMargins left="0.7" right="0.7" top="0.75" bottom="0.75" header="0" footer="0"/>
  <pageSetup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L-space</vt:lpstr>
      <vt:lpstr>P-space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Delano van den Bosch</cp:lastModifiedBy>
  <dcterms:modified xsi:type="dcterms:W3CDTF">2026-05-05T11:28:01Z</dcterms:modified>
</cp:coreProperties>
</file>